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gital Outlet\Downloads\"/>
    </mc:Choice>
  </mc:AlternateContent>
  <xr:revisionPtr revIDLastSave="0" documentId="13_ncr:1_{095A5DF3-FA8B-4483-B370-102FF779311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3-Statement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7" i="1" l="1"/>
  <c r="C74" i="1"/>
  <c r="D74" i="1" s="1"/>
  <c r="E74" i="1" s="1"/>
  <c r="F74" i="1" s="1"/>
  <c r="G74" i="1" s="1"/>
  <c r="H74" i="1" s="1"/>
  <c r="C72" i="1"/>
  <c r="C68" i="1"/>
  <c r="C64" i="1"/>
  <c r="D60" i="1"/>
  <c r="C46" i="1"/>
  <c r="D43" i="1" s="1"/>
  <c r="C43" i="1"/>
  <c r="C37" i="1"/>
  <c r="C66" i="1" s="1"/>
  <c r="C30" i="1"/>
  <c r="C27" i="1"/>
  <c r="C26" i="1"/>
  <c r="C38" i="1" s="1"/>
  <c r="C71" i="1" s="1"/>
  <c r="C73" i="1" s="1"/>
  <c r="C75" i="1" s="1"/>
  <c r="C25" i="1"/>
  <c r="D25" i="1" s="1"/>
  <c r="D36" i="1" l="1"/>
  <c r="D26" i="1"/>
  <c r="D27" i="1" s="1"/>
  <c r="D29" i="1" s="1"/>
  <c r="D51" i="1"/>
  <c r="D28" i="1"/>
  <c r="D54" i="1"/>
  <c r="E25" i="1"/>
  <c r="C28" i="1"/>
  <c r="C29" i="1" s="1"/>
  <c r="C31" i="1" s="1"/>
  <c r="D77" i="1"/>
  <c r="C36" i="1"/>
  <c r="C32" i="1" l="1"/>
  <c r="C33" i="1" s="1"/>
  <c r="D55" i="1"/>
  <c r="D68" i="1"/>
  <c r="E68" i="1" s="1"/>
  <c r="E77" i="1"/>
  <c r="C65" i="1"/>
  <c r="C67" i="1" s="1"/>
  <c r="C69" i="1" s="1"/>
  <c r="C39" i="1"/>
  <c r="D65" i="1"/>
  <c r="D37" i="1"/>
  <c r="D66" i="1" s="1"/>
  <c r="D38" i="1"/>
  <c r="D71" i="1" s="1"/>
  <c r="E36" i="1"/>
  <c r="E26" i="1"/>
  <c r="F25" i="1"/>
  <c r="E51" i="1"/>
  <c r="E28" i="1"/>
  <c r="E54" i="1"/>
  <c r="E55" i="1" s="1"/>
  <c r="E65" i="1" l="1"/>
  <c r="E37" i="1"/>
  <c r="E66" i="1" s="1"/>
  <c r="E38" i="1"/>
  <c r="E71" i="1" s="1"/>
  <c r="K17" i="1"/>
  <c r="C78" i="1" s="1"/>
  <c r="F36" i="1"/>
  <c r="F26" i="1"/>
  <c r="G25" i="1"/>
  <c r="F27" i="1"/>
  <c r="F51" i="1"/>
  <c r="F68" i="1" s="1"/>
  <c r="F28" i="1"/>
  <c r="F54" i="1"/>
  <c r="F55" i="1" s="1"/>
  <c r="D39" i="1"/>
  <c r="D40" i="1" s="1"/>
  <c r="D52" i="1" s="1"/>
  <c r="F77" i="1"/>
  <c r="E27" i="1"/>
  <c r="E29" i="1" s="1"/>
  <c r="G68" i="1" l="1"/>
  <c r="F29" i="1"/>
  <c r="G51" i="1"/>
  <c r="G28" i="1"/>
  <c r="G54" i="1"/>
  <c r="G55" i="1" s="1"/>
  <c r="H25" i="1"/>
  <c r="G36" i="1"/>
  <c r="G26" i="1"/>
  <c r="F37" i="1"/>
  <c r="F66" i="1" s="1"/>
  <c r="F38" i="1"/>
  <c r="F71" i="1" s="1"/>
  <c r="F39" i="1"/>
  <c r="F40" i="1" s="1"/>
  <c r="F52" i="1" s="1"/>
  <c r="F65" i="1"/>
  <c r="G77" i="1"/>
  <c r="C79" i="1"/>
  <c r="E39" i="1"/>
  <c r="E40" i="1" s="1"/>
  <c r="E52" i="1" s="1"/>
  <c r="G37" i="1" l="1"/>
  <c r="G66" i="1" s="1"/>
  <c r="G38" i="1"/>
  <c r="G71" i="1" s="1"/>
  <c r="H77" i="1"/>
  <c r="G65" i="1"/>
  <c r="G39" i="1"/>
  <c r="G40" i="1" s="1"/>
  <c r="G52" i="1" s="1"/>
  <c r="C81" i="1"/>
  <c r="C82" i="1"/>
  <c r="H36" i="1"/>
  <c r="H51" i="1"/>
  <c r="H28" i="1"/>
  <c r="H54" i="1"/>
  <c r="H55" i="1" s="1"/>
  <c r="H26" i="1"/>
  <c r="H68" i="1"/>
  <c r="G27" i="1"/>
  <c r="G29" i="1" s="1"/>
  <c r="H37" i="1" l="1"/>
  <c r="H66" i="1" s="1"/>
  <c r="H38" i="1"/>
  <c r="H71" i="1" s="1"/>
  <c r="H65" i="1"/>
  <c r="H27" i="1"/>
  <c r="H29" i="1" s="1"/>
  <c r="H39" i="1" l="1"/>
  <c r="H40" i="1" s="1"/>
  <c r="H52" i="1" s="1"/>
  <c r="G75" i="1" l="1"/>
  <c r="G73" i="1"/>
  <c r="G72" i="1"/>
  <c r="G82" i="1"/>
  <c r="G69" i="1"/>
  <c r="G67" i="1"/>
  <c r="H82" i="1"/>
  <c r="H69" i="1"/>
  <c r="H67" i="1"/>
  <c r="H64" i="1"/>
  <c r="H61" i="1"/>
  <c r="H59" i="1"/>
  <c r="D75" i="1"/>
  <c r="D73" i="1"/>
  <c r="D72" i="1"/>
  <c r="F58" i="1"/>
  <c r="F56" i="1"/>
  <c r="F45" i="1"/>
  <c r="F60" i="1"/>
  <c r="E58" i="1"/>
  <c r="E56" i="1"/>
  <c r="E45" i="1"/>
  <c r="E60" i="1"/>
  <c r="E82" i="1"/>
  <c r="E69" i="1"/>
  <c r="E59" i="1"/>
  <c r="E61" i="1"/>
  <c r="E64" i="1"/>
  <c r="E67" i="1"/>
  <c r="G32" i="1"/>
  <c r="H75" i="1"/>
  <c r="H46" i="1"/>
  <c r="H72" i="1"/>
  <c r="H73" i="1"/>
  <c r="E75" i="1"/>
  <c r="E73" i="1"/>
  <c r="E72" i="1"/>
  <c r="F32" i="1"/>
  <c r="H81" i="1"/>
  <c r="H79" i="1"/>
  <c r="H78" i="1"/>
  <c r="H50" i="1"/>
  <c r="H53" i="1"/>
  <c r="H44" i="1"/>
  <c r="G57" i="1"/>
  <c r="G78" i="1"/>
  <c r="G79" i="1"/>
  <c r="G81" i="1"/>
  <c r="D82" i="1"/>
  <c r="D69" i="1"/>
  <c r="D59" i="1"/>
  <c r="D61" i="1"/>
  <c r="D64" i="1"/>
  <c r="D67" i="1"/>
  <c r="F57" i="1"/>
  <c r="F82" i="1"/>
  <c r="F69" i="1"/>
  <c r="F67" i="1"/>
  <c r="D79" i="1"/>
  <c r="D81" i="1"/>
  <c r="F44" i="1"/>
  <c r="H33" i="1"/>
  <c r="H57" i="1"/>
  <c r="H58" i="1"/>
  <c r="G59" i="1"/>
  <c r="G61" i="1"/>
  <c r="G64" i="1"/>
  <c r="H60" i="1"/>
  <c r="H45" i="1"/>
  <c r="H56" i="1"/>
  <c r="D57" i="1"/>
  <c r="F75" i="1"/>
  <c r="F72" i="1"/>
  <c r="F73" i="1"/>
  <c r="F78" i="1"/>
  <c r="F79" i="1"/>
  <c r="F81" i="1"/>
  <c r="D56" i="1"/>
  <c r="D58" i="1"/>
  <c r="G46" i="1"/>
  <c r="H43" i="1"/>
  <c r="H47" i="1"/>
  <c r="H30" i="1"/>
  <c r="H31" i="1"/>
  <c r="H32" i="1"/>
  <c r="D78" i="1"/>
  <c r="E78" i="1"/>
  <c r="E79" i="1"/>
  <c r="E81" i="1"/>
  <c r="E50" i="1"/>
  <c r="E53" i="1"/>
  <c r="E44" i="1"/>
  <c r="F46" i="1"/>
  <c r="G43" i="1"/>
  <c r="G47" i="1"/>
  <c r="G30" i="1"/>
  <c r="G31" i="1"/>
  <c r="G33" i="1"/>
  <c r="G50" i="1"/>
  <c r="G53" i="1"/>
  <c r="G44" i="1"/>
  <c r="E32" i="1"/>
  <c r="E46" i="1"/>
  <c r="F43" i="1"/>
  <c r="F47" i="1"/>
  <c r="F30" i="1"/>
  <c r="F31" i="1"/>
  <c r="F33" i="1"/>
  <c r="F50" i="1"/>
  <c r="F53" i="1"/>
  <c r="F59" i="1"/>
  <c r="F61" i="1"/>
  <c r="F64" i="1"/>
  <c r="G60" i="1"/>
  <c r="G45" i="1"/>
  <c r="G56" i="1"/>
  <c r="G58" i="1"/>
  <c r="E43" i="1"/>
  <c r="E47" i="1"/>
  <c r="E30" i="1"/>
  <c r="E31" i="1"/>
  <c r="E33" i="1"/>
  <c r="E57" i="1"/>
  <c r="D33" i="1"/>
  <c r="D50" i="1"/>
  <c r="D53" i="1"/>
  <c r="D44" i="1"/>
  <c r="D45" i="1"/>
  <c r="D46" i="1"/>
  <c r="D47" i="1"/>
  <c r="D30" i="1"/>
  <c r="D31" i="1"/>
  <c r="D32" i="1"/>
</calcChain>
</file>

<file path=xl/sharedStrings.xml><?xml version="1.0" encoding="utf-8"?>
<sst xmlns="http://schemas.openxmlformats.org/spreadsheetml/2006/main" count="77" uniqueCount="70">
  <si>
    <t>Square Pharmaceuticals Ltd.</t>
  </si>
  <si>
    <t>Fully Integrated 3-Statement Model — Exercise (with Circular Debt Schedule)</t>
  </si>
  <si>
    <t>Note: figures below are illustrative placeholders for practice, not Square Pharma's actual reported financials.</t>
  </si>
  <si>
    <t>Period</t>
  </si>
  <si>
    <t>OPERATING ASSUMPTIONS</t>
  </si>
  <si>
    <t>PERIOD 0 BALANCE SHEET</t>
  </si>
  <si>
    <t>Revenue growth rate</t>
  </si>
  <si>
    <t>Revenue, Period 0</t>
  </si>
  <si>
    <t>Gross margin</t>
  </si>
  <si>
    <t>Cash</t>
  </si>
  <si>
    <t>SG&amp;A (% of revenue)</t>
  </si>
  <si>
    <t>PP&amp;E, net</t>
  </si>
  <si>
    <t>D&amp;A (% of revenue)</t>
  </si>
  <si>
    <t>Revolver (short-term debt)</t>
  </si>
  <si>
    <t>CapEx (% of revenue)</t>
  </si>
  <si>
    <t>Long-term debt</t>
  </si>
  <si>
    <t>Tax rate</t>
  </si>
  <si>
    <t>Common stock</t>
  </si>
  <si>
    <t>Days Sales Outstanding (DSO)</t>
  </si>
  <si>
    <t>Retained earnings (balancing)</t>
  </si>
  <si>
    <t>Days Inventory Outstanding (DIO)</t>
  </si>
  <si>
    <t>Days Payable Outstanding (DPO)</t>
  </si>
  <si>
    <t>Interest rate on debt (avg balance)</t>
  </si>
  <si>
    <t>Minimum cash balance</t>
  </si>
  <si>
    <t>Dividend payout ratio</t>
  </si>
  <si>
    <t>INCOME STATEMENT</t>
  </si>
  <si>
    <t>Revenue</t>
  </si>
  <si>
    <t>COGS</t>
  </si>
  <si>
    <t>Gross Profit</t>
  </si>
  <si>
    <t>SG&amp;A</t>
  </si>
  <si>
    <t>EBIT</t>
  </si>
  <si>
    <t>Interest Expense</t>
  </si>
  <si>
    <t>EBT</t>
  </si>
  <si>
    <t>Tax</t>
  </si>
  <si>
    <t>Net Income</t>
  </si>
  <si>
    <t>WORKING CAPITAL SCHEDULE</t>
  </si>
  <si>
    <t>Accounts Receivable</t>
  </si>
  <si>
    <t>Inventory</t>
  </si>
  <si>
    <t>Accounts Payable</t>
  </si>
  <si>
    <t>Net Working Capital</t>
  </si>
  <si>
    <t>Change in NWC</t>
  </si>
  <si>
    <t>DEBT SCHEDULE (REVOLVER)</t>
  </si>
  <si>
    <t>Beginning Revolver Balance</t>
  </si>
  <si>
    <t>Cash Flow Available Before Revolver</t>
  </si>
  <si>
    <t>Revolver Draw / (Paydown)</t>
  </si>
  <si>
    <t>Ending Revolver Balance</t>
  </si>
  <si>
    <t>Average Balance (for interest)</t>
  </si>
  <si>
    <t>CASH FLOW STATEMENT</t>
  </si>
  <si>
    <t>Add back: D&amp;A</t>
  </si>
  <si>
    <t>Less: Change in NWC</t>
  </si>
  <si>
    <t>Cash Flow from Operations</t>
  </si>
  <si>
    <t>Less: CapEx</t>
  </si>
  <si>
    <t>Cash Flow from Investing</t>
  </si>
  <si>
    <t>Less: Dividends Paid</t>
  </si>
  <si>
    <t>Cash Flow from Financing</t>
  </si>
  <si>
    <t>Net Change in Cash</t>
  </si>
  <si>
    <t>Beginning Cash</t>
  </si>
  <si>
    <t>Ending Cash</t>
  </si>
  <si>
    <t>BALANCE SHEET</t>
  </si>
  <si>
    <t>Total Current Assets</t>
  </si>
  <si>
    <t>Total Assets</t>
  </si>
  <si>
    <t>Revolver</t>
  </si>
  <si>
    <t>Total Current Liabilities</t>
  </si>
  <si>
    <t>Long-term Debt</t>
  </si>
  <si>
    <t>Total Liabilities</t>
  </si>
  <si>
    <t>Common Stock</t>
  </si>
  <si>
    <t>Retained Earnings</t>
  </si>
  <si>
    <t>Total Equity</t>
  </si>
  <si>
    <t>Total Liabilities + Equity</t>
  </si>
  <si>
    <t>Balance Check (Assets - Liab - 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</si>
</sst>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"/>
  </numFmts>
  <fonts count="9" x14ac:knownFonts="1">
    <font>
      <sz val="11"/>
      <color theme="1"/>
      <name val="Calibri"/>
      <family val="2"/>
      <charset val="1"/>
    </font>
    <font>
      <b/>
      <sz val="14"/>
      <color rgb="FF1A1A1A"/>
      <name val="Arial"/>
      <family val="2"/>
    </font>
    <font>
      <b/>
      <i/>
      <sz val="9"/>
      <name val="Arial"/>
      <family val="2"/>
      <charset val="1"/>
    </font>
    <font>
      <b/>
      <sz val="11"/>
      <name val="Calibri"/>
      <family val="2"/>
      <charset val="1"/>
    </font>
    <font>
      <sz val="10"/>
      <color rgb="FF1A1A1A"/>
      <name val="Arial"/>
      <family val="2"/>
    </font>
    <font>
      <b/>
      <sz val="9"/>
      <color rgb="FF808080"/>
      <name val="Arial"/>
      <family val="2"/>
    </font>
    <font>
      <b/>
      <sz val="10"/>
      <color rgb="FF1A1A1A"/>
      <name val="Arial"/>
      <family val="2"/>
    </font>
    <font>
      <sz val="10"/>
      <color rgb="FF1155CC"/>
      <name val="Arial"/>
      <family val="2"/>
    </font>
    <font>
      <i/>
      <sz val="9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40404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4" fillId="0" borderId="0" xfId="0" applyFont="1"/>
    <xf numFmtId="164" fontId="0" fillId="0" borderId="0" xfId="0" applyNumberFormat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8" fillId="0" borderId="0" xfId="0" applyFont="1"/>
    <xf numFmtId="0" fontId="6" fillId="0" borderId="1" xfId="0" applyFont="1" applyBorder="1"/>
    <xf numFmtId="0" fontId="0" fillId="0" borderId="1" xfId="0" applyBorder="1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5"/>
  <sheetViews>
    <sheetView showGridLines="0" tabSelected="1" topLeftCell="A10" zoomScale="55" zoomScaleNormal="55" workbookViewId="0">
      <selection activeCell="D52" sqref="D52"/>
    </sheetView>
  </sheetViews>
  <sheetFormatPr defaultColWidth="8.6328125" defaultRowHeight="14.5" x14ac:dyDescent="0.35"/>
  <cols>
    <col min="1" max="1" width="2" customWidth="1"/>
    <col min="2" max="2" width="34" customWidth="1"/>
    <col min="3" max="8" width="12" customWidth="1"/>
    <col min="9" max="9" width="3" customWidth="1"/>
    <col min="10" max="10" width="27" customWidth="1"/>
    <col min="11" max="11" width="12" customWidth="1"/>
  </cols>
  <sheetData>
    <row r="2" spans="2:11" ht="18" customHeight="1" x14ac:dyDescent="0.4">
      <c r="B2" s="2" t="s">
        <v>0</v>
      </c>
    </row>
    <row r="3" spans="2:11" x14ac:dyDescent="0.35">
      <c r="B3" s="3" t="s">
        <v>1</v>
      </c>
      <c r="C3" s="4"/>
      <c r="D3" s="4"/>
    </row>
    <row r="4" spans="2:11" x14ac:dyDescent="0.35">
      <c r="B4" s="20" t="s">
        <v>2</v>
      </c>
      <c r="C4" s="21"/>
      <c r="D4" s="21"/>
      <c r="E4" s="21"/>
      <c r="F4" s="21"/>
      <c r="G4" s="21"/>
    </row>
    <row r="8" spans="2:11" x14ac:dyDescent="0.35">
      <c r="B8" s="5" t="s">
        <v>3</v>
      </c>
      <c r="C8" s="6">
        <v>0</v>
      </c>
      <c r="D8" s="6">
        <v>1</v>
      </c>
      <c r="E8" s="6">
        <v>2</v>
      </c>
      <c r="F8" s="6">
        <v>3</v>
      </c>
      <c r="G8" s="6">
        <v>4</v>
      </c>
      <c r="H8" s="6">
        <v>5</v>
      </c>
    </row>
    <row r="10" spans="2:11" x14ac:dyDescent="0.35">
      <c r="B10" s="18" t="s">
        <v>4</v>
      </c>
      <c r="C10" s="19"/>
      <c r="D10" s="19"/>
      <c r="E10" s="19"/>
      <c r="F10" s="19"/>
      <c r="G10" s="19"/>
      <c r="H10" s="19"/>
      <c r="J10" s="18" t="s">
        <v>5</v>
      </c>
      <c r="K10" s="19"/>
    </row>
    <row r="11" spans="2:11" x14ac:dyDescent="0.35">
      <c r="B11" s="7" t="s">
        <v>6</v>
      </c>
      <c r="C11" s="8"/>
      <c r="D11" s="9">
        <v>0.09</v>
      </c>
      <c r="E11" s="9">
        <v>0.08</v>
      </c>
      <c r="F11" s="9">
        <v>7.4999999999999997E-2</v>
      </c>
      <c r="G11" s="9">
        <v>7.0000000000000007E-2</v>
      </c>
      <c r="H11" s="9">
        <v>6.5000000000000002E-2</v>
      </c>
      <c r="J11" s="7" t="s">
        <v>7</v>
      </c>
      <c r="K11" s="10">
        <v>15000</v>
      </c>
    </row>
    <row r="12" spans="2:11" x14ac:dyDescent="0.35">
      <c r="B12" s="7" t="s">
        <v>8</v>
      </c>
      <c r="C12" s="9">
        <v>0.34</v>
      </c>
      <c r="D12" s="9">
        <v>0.34</v>
      </c>
      <c r="E12" s="9">
        <v>0.34</v>
      </c>
      <c r="F12" s="9">
        <v>0.34</v>
      </c>
      <c r="G12" s="9">
        <v>0.34</v>
      </c>
      <c r="H12" s="9">
        <v>0.34</v>
      </c>
      <c r="J12" s="7" t="s">
        <v>9</v>
      </c>
      <c r="K12" s="10">
        <v>1200</v>
      </c>
    </row>
    <row r="13" spans="2:11" x14ac:dyDescent="0.35">
      <c r="B13" s="7" t="s">
        <v>10</v>
      </c>
      <c r="C13" s="9">
        <v>0.14000000000000001</v>
      </c>
      <c r="D13" s="9">
        <v>0.14000000000000001</v>
      </c>
      <c r="E13" s="9">
        <v>0.14000000000000001</v>
      </c>
      <c r="F13" s="9">
        <v>0.14000000000000001</v>
      </c>
      <c r="G13" s="9">
        <v>0.14000000000000001</v>
      </c>
      <c r="H13" s="9">
        <v>0.14000000000000001</v>
      </c>
      <c r="J13" s="7" t="s">
        <v>11</v>
      </c>
      <c r="K13" s="10">
        <v>9500</v>
      </c>
    </row>
    <row r="14" spans="2:11" x14ac:dyDescent="0.35">
      <c r="B14" s="7" t="s">
        <v>12</v>
      </c>
      <c r="C14" s="9">
        <v>3.5000000000000003E-2</v>
      </c>
      <c r="D14" s="9">
        <v>3.5000000000000003E-2</v>
      </c>
      <c r="E14" s="9">
        <v>3.5000000000000003E-2</v>
      </c>
      <c r="F14" s="9">
        <v>3.5000000000000003E-2</v>
      </c>
      <c r="G14" s="9">
        <v>3.5000000000000003E-2</v>
      </c>
      <c r="H14" s="9">
        <v>3.5000000000000003E-2</v>
      </c>
      <c r="J14" s="7" t="s">
        <v>13</v>
      </c>
      <c r="K14" s="10">
        <v>0</v>
      </c>
    </row>
    <row r="15" spans="2:11" x14ac:dyDescent="0.35">
      <c r="B15" s="7" t="s">
        <v>14</v>
      </c>
      <c r="C15" s="9">
        <v>0.05</v>
      </c>
      <c r="D15" s="9">
        <v>0.05</v>
      </c>
      <c r="E15" s="9">
        <v>0.05</v>
      </c>
      <c r="F15" s="9">
        <v>0.05</v>
      </c>
      <c r="G15" s="9">
        <v>0.05</v>
      </c>
      <c r="H15" s="9">
        <v>0.05</v>
      </c>
      <c r="J15" s="7" t="s">
        <v>15</v>
      </c>
      <c r="K15" s="10">
        <v>6000</v>
      </c>
    </row>
    <row r="16" spans="2:11" x14ac:dyDescent="0.35">
      <c r="B16" s="7" t="s">
        <v>16</v>
      </c>
      <c r="C16" s="9">
        <v>0.27500000000000002</v>
      </c>
      <c r="D16" s="9">
        <v>0.27500000000000002</v>
      </c>
      <c r="E16" s="9">
        <v>0.27500000000000002</v>
      </c>
      <c r="F16" s="9">
        <v>0.27500000000000002</v>
      </c>
      <c r="G16" s="9">
        <v>0.27500000000000002</v>
      </c>
      <c r="H16" s="9">
        <v>0.27500000000000002</v>
      </c>
      <c r="J16" s="7" t="s">
        <v>17</v>
      </c>
      <c r="K16" s="10">
        <v>4000</v>
      </c>
    </row>
    <row r="17" spans="2:11" x14ac:dyDescent="0.35">
      <c r="B17" s="7" t="s">
        <v>18</v>
      </c>
      <c r="C17" s="11">
        <v>45</v>
      </c>
      <c r="D17" s="11">
        <v>45</v>
      </c>
      <c r="E17" s="11">
        <v>45</v>
      </c>
      <c r="F17" s="11">
        <v>45</v>
      </c>
      <c r="G17" s="11">
        <v>45</v>
      </c>
      <c r="H17" s="11">
        <v>45</v>
      </c>
      <c r="J17" s="7" t="s">
        <v>19</v>
      </c>
      <c r="K17" s="12">
        <f>C69-C75-K16</f>
        <v>3091.7808219178087</v>
      </c>
    </row>
    <row r="18" spans="2:11" x14ac:dyDescent="0.35">
      <c r="B18" s="7" t="s">
        <v>20</v>
      </c>
      <c r="C18" s="11">
        <v>60</v>
      </c>
      <c r="D18" s="11">
        <v>60</v>
      </c>
      <c r="E18" s="11">
        <v>60</v>
      </c>
      <c r="F18" s="11">
        <v>60</v>
      </c>
      <c r="G18" s="11">
        <v>60</v>
      </c>
      <c r="H18" s="11">
        <v>60</v>
      </c>
    </row>
    <row r="19" spans="2:11" x14ac:dyDescent="0.35">
      <c r="B19" s="7" t="s">
        <v>21</v>
      </c>
      <c r="C19" s="11">
        <v>40</v>
      </c>
      <c r="D19" s="11">
        <v>40</v>
      </c>
      <c r="E19" s="11">
        <v>40</v>
      </c>
      <c r="F19" s="11">
        <v>40</v>
      </c>
      <c r="G19" s="11">
        <v>40</v>
      </c>
      <c r="H19" s="11">
        <v>40</v>
      </c>
    </row>
    <row r="20" spans="2:11" x14ac:dyDescent="0.35">
      <c r="B20" s="7" t="s">
        <v>22</v>
      </c>
      <c r="C20" s="9">
        <v>0.1</v>
      </c>
      <c r="D20" s="9">
        <v>0.1</v>
      </c>
      <c r="E20" s="9">
        <v>0.1</v>
      </c>
      <c r="F20" s="9">
        <v>0.1</v>
      </c>
      <c r="G20" s="9">
        <v>0.1</v>
      </c>
      <c r="H20" s="9">
        <v>0.1</v>
      </c>
    </row>
    <row r="21" spans="2:11" x14ac:dyDescent="0.35">
      <c r="B21" s="7" t="s">
        <v>23</v>
      </c>
      <c r="C21" s="10">
        <v>500</v>
      </c>
      <c r="D21" s="10">
        <v>500</v>
      </c>
      <c r="E21" s="10">
        <v>500</v>
      </c>
      <c r="F21" s="10">
        <v>500</v>
      </c>
      <c r="G21" s="10">
        <v>500</v>
      </c>
      <c r="H21" s="10">
        <v>500</v>
      </c>
    </row>
    <row r="22" spans="2:11" x14ac:dyDescent="0.35">
      <c r="B22" s="7" t="s">
        <v>24</v>
      </c>
      <c r="C22" s="9">
        <v>0.2</v>
      </c>
      <c r="D22" s="9">
        <v>0.2</v>
      </c>
      <c r="E22" s="9">
        <v>0.2</v>
      </c>
      <c r="F22" s="9">
        <v>0.2</v>
      </c>
      <c r="G22" s="9">
        <v>0.2</v>
      </c>
      <c r="H22" s="9">
        <v>0.2</v>
      </c>
    </row>
    <row r="24" spans="2:11" x14ac:dyDescent="0.35">
      <c r="B24" s="18" t="s">
        <v>25</v>
      </c>
      <c r="C24" s="19"/>
      <c r="D24" s="19"/>
      <c r="E24" s="19"/>
      <c r="F24" s="19"/>
      <c r="G24" s="19"/>
      <c r="H24" s="19"/>
    </row>
    <row r="25" spans="2:11" x14ac:dyDescent="0.35">
      <c r="B25" s="7" t="s">
        <v>26</v>
      </c>
      <c r="C25" s="12">
        <f>K11</f>
        <v>15000</v>
      </c>
      <c r="D25" s="13">
        <f>C25*(1+D11)</f>
        <v>16350.000000000002</v>
      </c>
      <c r="E25" s="13">
        <f>D25*(1+E11)</f>
        <v>17658.000000000004</v>
      </c>
      <c r="F25" s="13">
        <f>E25*(1+F11)</f>
        <v>18982.350000000002</v>
      </c>
      <c r="G25" s="13">
        <f>F25*(1+G11)</f>
        <v>20311.114500000003</v>
      </c>
      <c r="H25" s="13">
        <f>G25*(1+H11)</f>
        <v>21631.336942500002</v>
      </c>
    </row>
    <row r="26" spans="2:11" x14ac:dyDescent="0.35">
      <c r="B26" s="7" t="s">
        <v>27</v>
      </c>
      <c r="C26" s="13">
        <f t="shared" ref="C26:H26" si="0">-C25*(1-C12)</f>
        <v>-9899.9999999999982</v>
      </c>
      <c r="D26" s="13">
        <f t="shared" si="0"/>
        <v>-10791</v>
      </c>
      <c r="E26" s="13">
        <f t="shared" si="0"/>
        <v>-11654.28</v>
      </c>
      <c r="F26" s="13">
        <f t="shared" si="0"/>
        <v>-12528.351000000001</v>
      </c>
      <c r="G26" s="13">
        <f t="shared" si="0"/>
        <v>-13405.335570000001</v>
      </c>
      <c r="H26" s="13">
        <f t="shared" si="0"/>
        <v>-14276.682382049999</v>
      </c>
    </row>
    <row r="27" spans="2:11" x14ac:dyDescent="0.35">
      <c r="B27" s="14" t="s">
        <v>28</v>
      </c>
      <c r="C27" s="15">
        <f t="shared" ref="C27:H27" si="1">SUM(C25:C26)</f>
        <v>5100.0000000000018</v>
      </c>
      <c r="D27" s="15">
        <f t="shared" si="1"/>
        <v>5559.0000000000018</v>
      </c>
      <c r="E27" s="15">
        <f t="shared" si="1"/>
        <v>6003.720000000003</v>
      </c>
      <c r="F27" s="15">
        <f t="shared" si="1"/>
        <v>6453.9990000000016</v>
      </c>
      <c r="G27" s="15">
        <f t="shared" si="1"/>
        <v>6905.7789300000022</v>
      </c>
      <c r="H27" s="15">
        <f t="shared" si="1"/>
        <v>7354.6545604500025</v>
      </c>
    </row>
    <row r="28" spans="2:11" x14ac:dyDescent="0.35">
      <c r="B28" s="7" t="s">
        <v>29</v>
      </c>
      <c r="C28" s="13">
        <f t="shared" ref="C28:H28" si="2">-C25*C13</f>
        <v>-2100</v>
      </c>
      <c r="D28" s="13">
        <f t="shared" si="2"/>
        <v>-2289.0000000000005</v>
      </c>
      <c r="E28" s="13">
        <f t="shared" si="2"/>
        <v>-2472.1200000000008</v>
      </c>
      <c r="F28" s="13">
        <f t="shared" si="2"/>
        <v>-2657.5290000000005</v>
      </c>
      <c r="G28" s="13">
        <f t="shared" si="2"/>
        <v>-2843.5560300000006</v>
      </c>
      <c r="H28" s="13">
        <f t="shared" si="2"/>
        <v>-3028.3871719500007</v>
      </c>
    </row>
    <row r="29" spans="2:11" x14ac:dyDescent="0.35">
      <c r="B29" s="14" t="s">
        <v>30</v>
      </c>
      <c r="C29" s="15">
        <f t="shared" ref="C29:H29" si="3">SUM(C27:C28)</f>
        <v>3000.0000000000018</v>
      </c>
      <c r="D29" s="15">
        <f t="shared" si="3"/>
        <v>3270.0000000000014</v>
      </c>
      <c r="E29" s="15">
        <f t="shared" si="3"/>
        <v>3531.6000000000022</v>
      </c>
      <c r="F29" s="15">
        <f t="shared" si="3"/>
        <v>3796.4700000000012</v>
      </c>
      <c r="G29" s="15">
        <f t="shared" si="3"/>
        <v>4062.2229000000016</v>
      </c>
      <c r="H29" s="15">
        <f t="shared" si="3"/>
        <v>4326.2673885000022</v>
      </c>
    </row>
    <row r="30" spans="2:11" x14ac:dyDescent="0.35">
      <c r="B30" s="7" t="s">
        <v>31</v>
      </c>
      <c r="C30" s="13">
        <f>-(K14+K15)*C20</f>
        <v>-600</v>
      </c>
      <c r="D30" s="13" t="str">
        <f ca="1">-D20*(D47+AVERAGE(C74,D74))</f>
        <v/>
      </c>
      <c r="E30" s="13" t="str">
        <f ca="1">-E20*(E47+AVERAGE(D74,E74))</f>
        <v/>
      </c>
      <c r="F30" s="13" t="str">
        <f ca="1">-F20*(F47+AVERAGE(E74,F74))</f>
        <v/>
      </c>
      <c r="G30" s="13" t="str">
        <f ca="1">-G20*(G47+AVERAGE(F74,G74))</f>
        <v/>
      </c>
      <c r="H30" s="13" t="str">
        <f ca="1">-H20*(H47+AVERAGE(G74,H74))</f>
        <v/>
      </c>
    </row>
    <row r="31" spans="2:11" x14ac:dyDescent="0.35">
      <c r="B31" s="7" t="s">
        <v>32</v>
      </c>
      <c r="C31" s="13">
        <f t="shared" ref="C31:H31" si="4">SUM(C29:C30)</f>
        <v>2400.0000000000018</v>
      </c>
      <c r="D31" s="13" t="str">
        <f t="shared" ca="1" si="4"/>
        <v/>
      </c>
      <c r="E31" s="13" t="str">
        <f t="shared" ca="1" si="4"/>
        <v/>
      </c>
      <c r="F31" s="13" t="str">
        <f t="shared" ca="1" si="4"/>
        <v/>
      </c>
      <c r="G31" s="13" t="str">
        <f t="shared" ca="1" si="4"/>
        <v/>
      </c>
      <c r="H31" s="13" t="str">
        <f t="shared" ca="1" si="4"/>
        <v/>
      </c>
      <c r="I31" s="16"/>
    </row>
    <row r="32" spans="2:11" x14ac:dyDescent="0.35">
      <c r="B32" s="7" t="s">
        <v>33</v>
      </c>
      <c r="C32" s="13">
        <f t="shared" ref="C32:H32" si="5">-C31*C16</f>
        <v>-660.00000000000057</v>
      </c>
      <c r="D32" s="13" t="str">
        <f t="shared" ca="1" si="5"/>
        <v/>
      </c>
      <c r="E32" s="13" t="str">
        <f t="shared" ca="1" si="5"/>
        <v/>
      </c>
      <c r="F32" s="13" t="str">
        <f t="shared" ca="1" si="5"/>
        <v/>
      </c>
      <c r="G32" s="13" t="str">
        <f t="shared" ca="1" si="5"/>
        <v/>
      </c>
      <c r="H32" s="13" t="str">
        <f t="shared" ca="1" si="5"/>
        <v/>
      </c>
      <c r="I32" s="16"/>
    </row>
    <row r="33" spans="2:8" x14ac:dyDescent="0.35">
      <c r="B33" s="14" t="s">
        <v>34</v>
      </c>
      <c r="C33" s="15">
        <f t="shared" ref="C33:H33" si="6">SUM(C31:C32)</f>
        <v>1740.0000000000014</v>
      </c>
      <c r="D33" s="15" t="str">
        <f t="shared" ca="1" si="6"/>
        <v/>
      </c>
      <c r="E33" s="15" t="str">
        <f t="shared" ca="1" si="6"/>
        <v/>
      </c>
      <c r="F33" s="15" t="str">
        <f t="shared" ca="1" si="6"/>
        <v/>
      </c>
      <c r="G33" s="15" t="str">
        <f t="shared" ca="1" si="6"/>
        <v/>
      </c>
      <c r="H33" s="15" t="str">
        <f t="shared" ca="1" si="6"/>
        <v/>
      </c>
    </row>
    <row r="35" spans="2:8" x14ac:dyDescent="0.35">
      <c r="B35" s="18" t="s">
        <v>35</v>
      </c>
      <c r="C35" s="19"/>
      <c r="D35" s="19"/>
      <c r="E35" s="19"/>
      <c r="F35" s="19"/>
      <c r="G35" s="19"/>
      <c r="H35" s="19"/>
    </row>
    <row r="36" spans="2:8" x14ac:dyDescent="0.35">
      <c r="B36" s="7" t="s">
        <v>36</v>
      </c>
      <c r="C36" s="13">
        <f t="shared" ref="C36:H36" si="7">(C25*C17)/365</f>
        <v>1849.3150684931506</v>
      </c>
      <c r="D36" s="13">
        <f t="shared" si="7"/>
        <v>2015.7534246575347</v>
      </c>
      <c r="E36" s="13">
        <f t="shared" si="7"/>
        <v>2177.0136986301372</v>
      </c>
      <c r="F36" s="13">
        <f t="shared" si="7"/>
        <v>2340.2897260273976</v>
      </c>
      <c r="G36" s="13">
        <f t="shared" si="7"/>
        <v>2504.1100068493156</v>
      </c>
      <c r="H36" s="13">
        <f t="shared" si="7"/>
        <v>2666.8771572945211</v>
      </c>
    </row>
    <row r="37" spans="2:8" x14ac:dyDescent="0.35">
      <c r="B37" s="7" t="s">
        <v>37</v>
      </c>
      <c r="C37" s="13">
        <f t="shared" ref="C37:H37" si="8">-(C26*C18/365)</f>
        <v>1627.3972602739723</v>
      </c>
      <c r="D37" s="13">
        <f t="shared" si="8"/>
        <v>1773.8630136986301</v>
      </c>
      <c r="E37" s="13">
        <f t="shared" si="8"/>
        <v>1915.7720547945207</v>
      </c>
      <c r="F37" s="13">
        <f t="shared" si="8"/>
        <v>2059.4549589041098</v>
      </c>
      <c r="G37" s="13">
        <f t="shared" si="8"/>
        <v>2203.6168060273976</v>
      </c>
      <c r="H37" s="13">
        <f t="shared" si="8"/>
        <v>2346.8518984191778</v>
      </c>
    </row>
    <row r="38" spans="2:8" x14ac:dyDescent="0.35">
      <c r="B38" s="7" t="s">
        <v>38</v>
      </c>
      <c r="C38" s="13">
        <f t="shared" ref="C38:H38" si="9">-(C26*C19/365)</f>
        <v>1084.9315068493149</v>
      </c>
      <c r="D38" s="13">
        <f t="shared" si="9"/>
        <v>1182.5753424657535</v>
      </c>
      <c r="E38" s="13">
        <f t="shared" si="9"/>
        <v>1277.1813698630137</v>
      </c>
      <c r="F38" s="13">
        <f t="shared" si="9"/>
        <v>1372.9699726027397</v>
      </c>
      <c r="G38" s="13">
        <f t="shared" si="9"/>
        <v>1469.0778706849317</v>
      </c>
      <c r="H38" s="13">
        <f t="shared" si="9"/>
        <v>1564.567932279452</v>
      </c>
    </row>
    <row r="39" spans="2:8" x14ac:dyDescent="0.35">
      <c r="B39" s="14" t="s">
        <v>39</v>
      </c>
      <c r="C39" s="15">
        <f t="shared" ref="C39:H39" si="10">C36+C37-C38</f>
        <v>2391.7808219178078</v>
      </c>
      <c r="D39" s="15">
        <f t="shared" si="10"/>
        <v>2607.0410958904113</v>
      </c>
      <c r="E39" s="15">
        <f t="shared" si="10"/>
        <v>2815.6043835616438</v>
      </c>
      <c r="F39" s="15">
        <f t="shared" si="10"/>
        <v>3026.7747123287677</v>
      </c>
      <c r="G39" s="15">
        <f t="shared" si="10"/>
        <v>3238.6489421917822</v>
      </c>
      <c r="H39" s="15">
        <f t="shared" si="10"/>
        <v>3449.1611234342463</v>
      </c>
    </row>
    <row r="40" spans="2:8" x14ac:dyDescent="0.35">
      <c r="B40" s="7" t="s">
        <v>40</v>
      </c>
      <c r="C40" s="16"/>
      <c r="D40" s="13">
        <f>D39-C39</f>
        <v>215.2602739726035</v>
      </c>
      <c r="E40" s="13">
        <f>E39-D39</f>
        <v>208.5632876712325</v>
      </c>
      <c r="F40" s="13">
        <f>F39-E39</f>
        <v>211.17032876712392</v>
      </c>
      <c r="G40" s="13">
        <f>G39-F39</f>
        <v>211.87422986301453</v>
      </c>
      <c r="H40" s="13">
        <f>H39-G39</f>
        <v>210.51218124246407</v>
      </c>
    </row>
    <row r="42" spans="2:8" x14ac:dyDescent="0.35">
      <c r="B42" s="18" t="s">
        <v>41</v>
      </c>
      <c r="C42" s="19"/>
      <c r="D42" s="19"/>
      <c r="E42" s="19"/>
      <c r="F42" s="19"/>
      <c r="G42" s="19"/>
      <c r="H42" s="19"/>
    </row>
    <row r="43" spans="2:8" x14ac:dyDescent="0.35">
      <c r="B43" s="7" t="s">
        <v>42</v>
      </c>
      <c r="C43" s="13">
        <f>K14</f>
        <v>0</v>
      </c>
      <c r="D43" s="13">
        <f>C46</f>
        <v>0</v>
      </c>
      <c r="E43" s="13" t="str">
        <f ca="1">D46</f>
        <v/>
      </c>
      <c r="F43" s="13" t="str">
        <f ca="1">E46</f>
        <v/>
      </c>
      <c r="G43" s="13" t="str">
        <f ca="1">F46</f>
        <v/>
      </c>
      <c r="H43" s="13" t="str">
        <f ca="1">G46</f>
        <v/>
      </c>
    </row>
    <row r="44" spans="2:8" x14ac:dyDescent="0.35">
      <c r="B44" s="7" t="s">
        <v>43</v>
      </c>
      <c r="C44" s="16"/>
      <c r="D44" s="13" t="str">
        <f ca="1">D53+D55+D57</f>
        <v/>
      </c>
      <c r="E44" s="13" t="str">
        <f ca="1">E53+E55+E57</f>
        <v/>
      </c>
      <c r="F44" s="13" t="str">
        <f ca="1">F53+F55+F57</f>
        <v/>
      </c>
      <c r="G44" s="13" t="str">
        <f ca="1">G53+G55+G57</f>
        <v/>
      </c>
      <c r="H44" s="13" t="str">
        <f ca="1">H53+H55+H57</f>
        <v/>
      </c>
    </row>
    <row r="45" spans="2:8" x14ac:dyDescent="0.35">
      <c r="B45" s="7" t="s">
        <v>44</v>
      </c>
      <c r="C45" s="16"/>
      <c r="D45" s="13" t="str">
        <f ca="1">-MIN(D60+D44-D21,D43)</f>
        <v/>
      </c>
      <c r="E45" s="13" t="str">
        <f ca="1">-MIN(E60+E44-E21,E43)</f>
        <v/>
      </c>
      <c r="F45" s="13" t="str">
        <f ca="1">-MIN(F60+F44-F21,F43)</f>
        <v/>
      </c>
      <c r="G45" s="13" t="str">
        <f ca="1">-MIN(G60+G44-G21,G43)</f>
        <v/>
      </c>
      <c r="H45" s="13" t="str">
        <f ca="1">-MIN(H60+H44-H21,H43)</f>
        <v/>
      </c>
    </row>
    <row r="46" spans="2:8" x14ac:dyDescent="0.35">
      <c r="B46" s="14" t="s">
        <v>45</v>
      </c>
      <c r="C46" s="15">
        <f>K14</f>
        <v>0</v>
      </c>
      <c r="D46" s="15" t="str">
        <f ca="1">D43+D45</f>
        <v/>
      </c>
      <c r="E46" s="15" t="str">
        <f ca="1">E43+E45</f>
        <v/>
      </c>
      <c r="F46" s="15" t="str">
        <f ca="1">F43+F45</f>
        <v/>
      </c>
      <c r="G46" s="15" t="str">
        <f ca="1">G43+G45</f>
        <v/>
      </c>
      <c r="H46" s="15" t="str">
        <f ca="1">H43+H45</f>
        <v/>
      </c>
    </row>
    <row r="47" spans="2:8" x14ac:dyDescent="0.35">
      <c r="B47" s="7" t="s">
        <v>46</v>
      </c>
      <c r="C47" s="16"/>
      <c r="D47" s="13" t="str">
        <f ca="1">AVERAGE(D43,D46)</f>
        <v/>
      </c>
      <c r="E47" s="13" t="str">
        <f ca="1">AVERAGE(E43,E46)</f>
        <v/>
      </c>
      <c r="F47" s="13" t="str">
        <f ca="1">AVERAGE(F43,F46)</f>
        <v/>
      </c>
      <c r="G47" s="13" t="str">
        <f ca="1">AVERAGE(G43,G46)</f>
        <v/>
      </c>
      <c r="H47" s="13" t="str">
        <f ca="1">AVERAGE(H43,H46)</f>
        <v/>
      </c>
    </row>
    <row r="49" spans="2:8" x14ac:dyDescent="0.35">
      <c r="B49" s="18" t="s">
        <v>47</v>
      </c>
      <c r="C49" s="19"/>
      <c r="D49" s="19"/>
      <c r="E49" s="19"/>
      <c r="F49" s="19"/>
      <c r="G49" s="19"/>
      <c r="H49" s="19"/>
    </row>
    <row r="50" spans="2:8" x14ac:dyDescent="0.35">
      <c r="B50" s="7" t="s">
        <v>34</v>
      </c>
      <c r="C50" s="16"/>
      <c r="D50" s="13" t="str">
        <f ca="1">D33</f>
        <v/>
      </c>
      <c r="E50" s="13" t="str">
        <f ca="1">E33</f>
        <v/>
      </c>
      <c r="F50" s="13" t="str">
        <f ca="1">F33</f>
        <v/>
      </c>
      <c r="G50" s="13" t="str">
        <f ca="1">G33</f>
        <v/>
      </c>
      <c r="H50" s="13" t="str">
        <f ca="1">H33</f>
        <v/>
      </c>
    </row>
    <row r="51" spans="2:8" x14ac:dyDescent="0.35">
      <c r="B51" s="7" t="s">
        <v>48</v>
      </c>
      <c r="C51" s="16"/>
      <c r="D51" s="13">
        <f>D25*D14</f>
        <v>572.25000000000011</v>
      </c>
      <c r="E51" s="13">
        <f>E25*E14</f>
        <v>618.0300000000002</v>
      </c>
      <c r="F51" s="13">
        <f>F25*F14</f>
        <v>664.38225000000011</v>
      </c>
      <c r="G51" s="13">
        <f>G25*G14</f>
        <v>710.88900750000016</v>
      </c>
      <c r="H51" s="13">
        <f>H25*H14</f>
        <v>757.09679298750018</v>
      </c>
    </row>
    <row r="52" spans="2:8" x14ac:dyDescent="0.35">
      <c r="B52" s="7" t="s">
        <v>49</v>
      </c>
      <c r="C52" s="16"/>
      <c r="D52" s="13">
        <f>-D40</f>
        <v>-215.2602739726035</v>
      </c>
      <c r="E52" s="13">
        <f>-E40</f>
        <v>-208.5632876712325</v>
      </c>
      <c r="F52" s="13">
        <f>-F40</f>
        <v>-211.17032876712392</v>
      </c>
      <c r="G52" s="13">
        <f>-G40</f>
        <v>-211.87422986301453</v>
      </c>
      <c r="H52" s="13">
        <f>-H40</f>
        <v>-210.51218124246407</v>
      </c>
    </row>
    <row r="53" spans="2:8" x14ac:dyDescent="0.35">
      <c r="B53" s="14" t="s">
        <v>50</v>
      </c>
      <c r="C53" s="16"/>
      <c r="D53" s="15" t="str">
        <f ca="1">SUM(D50:D52)</f>
        <v/>
      </c>
      <c r="E53" s="15" t="str">
        <f ca="1">SUM(E50:E52)</f>
        <v/>
      </c>
      <c r="F53" s="15" t="str">
        <f ca="1">SUM(F50:F52)</f>
        <v/>
      </c>
      <c r="G53" s="15" t="str">
        <f ca="1">SUM(G50:G52)</f>
        <v/>
      </c>
      <c r="H53" s="15" t="str">
        <f ca="1">SUM(H50:H52)</f>
        <v/>
      </c>
    </row>
    <row r="54" spans="2:8" x14ac:dyDescent="0.35">
      <c r="B54" s="7" t="s">
        <v>51</v>
      </c>
      <c r="C54" s="16"/>
      <c r="D54" s="13">
        <f>-D25*D15</f>
        <v>-817.50000000000011</v>
      </c>
      <c r="E54" s="13">
        <f>-E25*E15</f>
        <v>-882.9000000000002</v>
      </c>
      <c r="F54" s="13">
        <f>-F25*F15</f>
        <v>-949.11750000000018</v>
      </c>
      <c r="G54" s="13">
        <f>-G25*G15</f>
        <v>-1015.5557250000002</v>
      </c>
      <c r="H54" s="13">
        <f>-H25*H15</f>
        <v>-1081.5668471250001</v>
      </c>
    </row>
    <row r="55" spans="2:8" x14ac:dyDescent="0.35">
      <c r="B55" s="14" t="s">
        <v>52</v>
      </c>
      <c r="C55" s="16"/>
      <c r="D55" s="15">
        <f>D54</f>
        <v>-817.50000000000011</v>
      </c>
      <c r="E55" s="15">
        <f>E54</f>
        <v>-882.9000000000002</v>
      </c>
      <c r="F55" s="15">
        <f>F54</f>
        <v>-949.11750000000018</v>
      </c>
      <c r="G55" s="15">
        <f>G54</f>
        <v>-1015.5557250000002</v>
      </c>
      <c r="H55" s="15">
        <f>H54</f>
        <v>-1081.5668471250001</v>
      </c>
    </row>
    <row r="56" spans="2:8" x14ac:dyDescent="0.35">
      <c r="B56" s="7" t="s">
        <v>44</v>
      </c>
      <c r="C56" s="16"/>
      <c r="D56" s="13" t="str">
        <f ca="1">D45</f>
        <v/>
      </c>
      <c r="E56" s="13" t="str">
        <f ca="1">E45</f>
        <v/>
      </c>
      <c r="F56" s="13" t="str">
        <f ca="1">F45</f>
        <v/>
      </c>
      <c r="G56" s="13" t="str">
        <f ca="1">G45</f>
        <v/>
      </c>
      <c r="H56" s="13" t="str">
        <f ca="1">H45</f>
        <v/>
      </c>
    </row>
    <row r="57" spans="2:8" x14ac:dyDescent="0.35">
      <c r="B57" s="7" t="s">
        <v>53</v>
      </c>
      <c r="C57" s="16"/>
      <c r="D57" s="13" t="str">
        <f ca="1">-D33*D22</f>
        <v/>
      </c>
      <c r="E57" s="13" t="str">
        <f ca="1">-E33*E22</f>
        <v/>
      </c>
      <c r="F57" s="13" t="str">
        <f ca="1">-F33*F22</f>
        <v/>
      </c>
      <c r="G57" s="13" t="str">
        <f ca="1">-G33*G22</f>
        <v/>
      </c>
      <c r="H57" s="13" t="str">
        <f ca="1">-H33*H22</f>
        <v/>
      </c>
    </row>
    <row r="58" spans="2:8" x14ac:dyDescent="0.35">
      <c r="B58" s="14" t="s">
        <v>54</v>
      </c>
      <c r="C58" s="16"/>
      <c r="D58" s="15" t="str">
        <f ca="1">SUM(D56:D57)</f>
        <v/>
      </c>
      <c r="E58" s="15" t="str">
        <f ca="1">SUM(E56:E57)</f>
        <v/>
      </c>
      <c r="F58" s="15" t="str">
        <f ca="1">SUM(F56:F57)</f>
        <v/>
      </c>
      <c r="G58" s="15" t="str">
        <f ca="1">SUM(G56:G57)</f>
        <v/>
      </c>
      <c r="H58" s="15" t="str">
        <f ca="1">SUM(H56:H57)</f>
        <v/>
      </c>
    </row>
    <row r="59" spans="2:8" x14ac:dyDescent="0.35">
      <c r="B59" s="14" t="s">
        <v>55</v>
      </c>
      <c r="C59" s="16"/>
      <c r="D59" s="15" t="str">
        <f ca="1">D53+D55+D58</f>
        <v/>
      </c>
      <c r="E59" s="15" t="str">
        <f ca="1">E53+E55+E58</f>
        <v/>
      </c>
      <c r="F59" s="15" t="str">
        <f ca="1">F53+F55+F58</f>
        <v/>
      </c>
      <c r="G59" s="15" t="str">
        <f ca="1">G53+G55+G58</f>
        <v/>
      </c>
      <c r="H59" s="15" t="str">
        <f ca="1">H53+H55+H58</f>
        <v/>
      </c>
    </row>
    <row r="60" spans="2:8" x14ac:dyDescent="0.35">
      <c r="B60" s="7" t="s">
        <v>56</v>
      </c>
      <c r="C60" s="16"/>
      <c r="D60" s="13">
        <f>C64</f>
        <v>1200</v>
      </c>
      <c r="E60" s="13" t="str">
        <f ca="1">D64</f>
        <v/>
      </c>
      <c r="F60" s="13" t="str">
        <f ca="1">E64</f>
        <v/>
      </c>
      <c r="G60" s="13" t="str">
        <f ca="1">F64</f>
        <v/>
      </c>
      <c r="H60" s="13" t="str">
        <f ca="1">G64</f>
        <v/>
      </c>
    </row>
    <row r="61" spans="2:8" x14ac:dyDescent="0.35">
      <c r="B61" s="14" t="s">
        <v>57</v>
      </c>
      <c r="C61" s="16"/>
      <c r="D61" s="15" t="str">
        <f ca="1">SUM(D59:D60)</f>
        <v/>
      </c>
      <c r="E61" s="15" t="str">
        <f ca="1">SUM(E59:E60)</f>
        <v/>
      </c>
      <c r="F61" s="15" t="str">
        <f ca="1">SUM(F59:F60)</f>
        <v/>
      </c>
      <c r="G61" s="15" t="str">
        <f ca="1">SUM(G59:G60)</f>
        <v/>
      </c>
      <c r="H61" s="15" t="str">
        <f ca="1">SUM(H59:H60)</f>
        <v/>
      </c>
    </row>
    <row r="63" spans="2:8" x14ac:dyDescent="0.35">
      <c r="B63" s="18" t="s">
        <v>58</v>
      </c>
      <c r="C63" s="19"/>
      <c r="D63" s="19"/>
      <c r="E63" s="19"/>
      <c r="F63" s="19"/>
      <c r="G63" s="19"/>
      <c r="H63" s="19"/>
    </row>
    <row r="64" spans="2:8" x14ac:dyDescent="0.35">
      <c r="B64" s="7" t="s">
        <v>9</v>
      </c>
      <c r="C64" s="13">
        <f>K12</f>
        <v>1200</v>
      </c>
      <c r="D64" s="13" t="str">
        <f ca="1">D61</f>
        <v/>
      </c>
      <c r="E64" s="13" t="str">
        <f ca="1">E61</f>
        <v/>
      </c>
      <c r="F64" s="13" t="str">
        <f ca="1">F61</f>
        <v/>
      </c>
      <c r="G64" s="13" t="str">
        <f ca="1">G61</f>
        <v/>
      </c>
      <c r="H64" s="13" t="str">
        <f ca="1">H61</f>
        <v/>
      </c>
    </row>
    <row r="65" spans="2:8" x14ac:dyDescent="0.35">
      <c r="B65" s="7" t="s">
        <v>36</v>
      </c>
      <c r="C65" s="13">
        <f t="shared" ref="C65:H66" si="11">C36</f>
        <v>1849.3150684931506</v>
      </c>
      <c r="D65" s="13">
        <f t="shared" si="11"/>
        <v>2015.7534246575347</v>
      </c>
      <c r="E65" s="13">
        <f t="shared" si="11"/>
        <v>2177.0136986301372</v>
      </c>
      <c r="F65" s="13">
        <f t="shared" si="11"/>
        <v>2340.2897260273976</v>
      </c>
      <c r="G65" s="13">
        <f t="shared" si="11"/>
        <v>2504.1100068493156</v>
      </c>
      <c r="H65" s="13">
        <f t="shared" si="11"/>
        <v>2666.8771572945211</v>
      </c>
    </row>
    <row r="66" spans="2:8" x14ac:dyDescent="0.35">
      <c r="B66" s="7" t="s">
        <v>37</v>
      </c>
      <c r="C66" s="13">
        <f t="shared" si="11"/>
        <v>1627.3972602739723</v>
      </c>
      <c r="D66" s="13">
        <f t="shared" si="11"/>
        <v>1773.8630136986301</v>
      </c>
      <c r="E66" s="13">
        <f t="shared" si="11"/>
        <v>1915.7720547945207</v>
      </c>
      <c r="F66" s="13">
        <f t="shared" si="11"/>
        <v>2059.4549589041098</v>
      </c>
      <c r="G66" s="13">
        <f t="shared" si="11"/>
        <v>2203.6168060273976</v>
      </c>
      <c r="H66" s="13">
        <f t="shared" si="11"/>
        <v>2346.8518984191778</v>
      </c>
    </row>
    <row r="67" spans="2:8" x14ac:dyDescent="0.35">
      <c r="B67" s="14" t="s">
        <v>59</v>
      </c>
      <c r="C67" s="15">
        <f t="shared" ref="C67:H67" si="12">SUM(C64:C66)</f>
        <v>4676.7123287671229</v>
      </c>
      <c r="D67" s="15" t="str">
        <f t="shared" ca="1" si="12"/>
        <v/>
      </c>
      <c r="E67" s="15" t="str">
        <f t="shared" ca="1" si="12"/>
        <v/>
      </c>
      <c r="F67" s="15" t="str">
        <f t="shared" ca="1" si="12"/>
        <v/>
      </c>
      <c r="G67" s="15" t="str">
        <f t="shared" ca="1" si="12"/>
        <v/>
      </c>
      <c r="H67" s="15" t="str">
        <f t="shared" ca="1" si="12"/>
        <v/>
      </c>
    </row>
    <row r="68" spans="2:8" x14ac:dyDescent="0.35">
      <c r="B68" s="7" t="s">
        <v>11</v>
      </c>
      <c r="C68" s="13">
        <f>K13</f>
        <v>9500</v>
      </c>
      <c r="D68" s="13">
        <f>C68-D54-D51</f>
        <v>9745.25</v>
      </c>
      <c r="E68" s="13">
        <f>D68-E54-E51</f>
        <v>10010.119999999999</v>
      </c>
      <c r="F68" s="13">
        <f>E68-F54-F51</f>
        <v>10294.855249999999</v>
      </c>
      <c r="G68" s="13">
        <f>F68-G54-G51</f>
        <v>10599.521967499999</v>
      </c>
      <c r="H68" s="13">
        <f>G68-H54-H51</f>
        <v>10923.992021637499</v>
      </c>
    </row>
    <row r="69" spans="2:8" x14ac:dyDescent="0.35">
      <c r="B69" s="14" t="s">
        <v>60</v>
      </c>
      <c r="C69" s="15">
        <f t="shared" ref="C69:H69" si="13">SUM(C67:C68)</f>
        <v>14176.712328767124</v>
      </c>
      <c r="D69" s="15" t="str">
        <f t="shared" ca="1" si="13"/>
        <v/>
      </c>
      <c r="E69" s="15" t="str">
        <f t="shared" ca="1" si="13"/>
        <v/>
      </c>
      <c r="F69" s="15" t="str">
        <f t="shared" ca="1" si="13"/>
        <v/>
      </c>
      <c r="G69" s="15" t="str">
        <f t="shared" ca="1" si="13"/>
        <v/>
      </c>
      <c r="H69" s="15" t="str">
        <f t="shared" ca="1" si="13"/>
        <v/>
      </c>
    </row>
    <row r="71" spans="2:8" x14ac:dyDescent="0.35">
      <c r="B71" s="7" t="s">
        <v>38</v>
      </c>
      <c r="C71" s="13">
        <f t="shared" ref="C71:H71" si="14">C38</f>
        <v>1084.9315068493149</v>
      </c>
      <c r="D71" s="13">
        <f t="shared" si="14"/>
        <v>1182.5753424657535</v>
      </c>
      <c r="E71" s="13">
        <f t="shared" si="14"/>
        <v>1277.1813698630137</v>
      </c>
      <c r="F71" s="13">
        <f t="shared" si="14"/>
        <v>1372.9699726027397</v>
      </c>
      <c r="G71" s="13">
        <f t="shared" si="14"/>
        <v>1469.0778706849317</v>
      </c>
      <c r="H71" s="13">
        <f t="shared" si="14"/>
        <v>1564.567932279452</v>
      </c>
    </row>
    <row r="72" spans="2:8" x14ac:dyDescent="0.35">
      <c r="B72" s="7" t="s">
        <v>61</v>
      </c>
      <c r="C72" s="13">
        <f>K14</f>
        <v>0</v>
      </c>
      <c r="D72" s="13" t="str">
        <f ca="1">D46</f>
        <v/>
      </c>
      <c r="E72" s="13" t="str">
        <f ca="1">E46</f>
        <v/>
      </c>
      <c r="F72" s="13" t="str">
        <f ca="1">F46</f>
        <v/>
      </c>
      <c r="G72" s="13" t="str">
        <f ca="1">G46</f>
        <v/>
      </c>
      <c r="H72" s="13" t="str">
        <f ca="1">H46</f>
        <v/>
      </c>
    </row>
    <row r="73" spans="2:8" x14ac:dyDescent="0.35">
      <c r="B73" s="14" t="s">
        <v>62</v>
      </c>
      <c r="C73" s="15">
        <f t="shared" ref="C73:H73" si="15">SUM(C71:C72)</f>
        <v>1084.9315068493149</v>
      </c>
      <c r="D73" s="15" t="str">
        <f t="shared" ca="1" si="15"/>
        <v/>
      </c>
      <c r="E73" s="15" t="str">
        <f t="shared" ca="1" si="15"/>
        <v/>
      </c>
      <c r="F73" s="15" t="str">
        <f t="shared" ca="1" si="15"/>
        <v/>
      </c>
      <c r="G73" s="15" t="str">
        <f t="shared" ca="1" si="15"/>
        <v/>
      </c>
      <c r="H73" s="15" t="str">
        <f t="shared" ca="1" si="15"/>
        <v/>
      </c>
    </row>
    <row r="74" spans="2:8" x14ac:dyDescent="0.35">
      <c r="B74" s="7" t="s">
        <v>63</v>
      </c>
      <c r="C74" s="13">
        <f>K15</f>
        <v>6000</v>
      </c>
      <c r="D74" s="13">
        <f>C74</f>
        <v>6000</v>
      </c>
      <c r="E74" s="13">
        <f>D74</f>
        <v>6000</v>
      </c>
      <c r="F74" s="13">
        <f>E74</f>
        <v>6000</v>
      </c>
      <c r="G74" s="13">
        <f>F74</f>
        <v>6000</v>
      </c>
      <c r="H74" s="13">
        <f>G74</f>
        <v>6000</v>
      </c>
    </row>
    <row r="75" spans="2:8" x14ac:dyDescent="0.35">
      <c r="B75" s="14" t="s">
        <v>64</v>
      </c>
      <c r="C75" s="15">
        <f t="shared" ref="C75:H75" si="16">SUM(C73:C74)</f>
        <v>7084.9315068493152</v>
      </c>
      <c r="D75" s="15" t="str">
        <f t="shared" ca="1" si="16"/>
        <v/>
      </c>
      <c r="E75" s="15" t="str">
        <f t="shared" ca="1" si="16"/>
        <v/>
      </c>
      <c r="F75" s="15" t="str">
        <f t="shared" ca="1" si="16"/>
        <v/>
      </c>
      <c r="G75" s="15" t="str">
        <f t="shared" ca="1" si="16"/>
        <v/>
      </c>
      <c r="H75" s="15" t="str">
        <f t="shared" ca="1" si="16"/>
        <v/>
      </c>
    </row>
    <row r="77" spans="2:8" x14ac:dyDescent="0.35">
      <c r="B77" s="7" t="s">
        <v>65</v>
      </c>
      <c r="C77" s="13">
        <f>K16</f>
        <v>4000</v>
      </c>
      <c r="D77" s="13">
        <f>C77</f>
        <v>4000</v>
      </c>
      <c r="E77" s="13">
        <f>D77</f>
        <v>4000</v>
      </c>
      <c r="F77" s="13">
        <f>E77</f>
        <v>4000</v>
      </c>
      <c r="G77" s="13">
        <f>F77</f>
        <v>4000</v>
      </c>
      <c r="H77" s="13">
        <f>G77</f>
        <v>4000</v>
      </c>
    </row>
    <row r="78" spans="2:8" x14ac:dyDescent="0.35">
      <c r="B78" s="7" t="s">
        <v>66</v>
      </c>
      <c r="C78" s="13">
        <f>K17</f>
        <v>3091.7808219178087</v>
      </c>
      <c r="D78" s="13" t="str">
        <f ca="1">C78+D33+D57</f>
        <v/>
      </c>
      <c r="E78" s="13" t="str">
        <f ca="1">D78+E33+E57</f>
        <v/>
      </c>
      <c r="F78" s="13" t="str">
        <f ca="1">E78+F33+F57</f>
        <v/>
      </c>
      <c r="G78" s="13" t="str">
        <f ca="1">F78+G33+G57</f>
        <v/>
      </c>
      <c r="H78" s="13" t="str">
        <f ca="1">G78+H33+H57</f>
        <v/>
      </c>
    </row>
    <row r="79" spans="2:8" x14ac:dyDescent="0.35">
      <c r="B79" s="14" t="s">
        <v>67</v>
      </c>
      <c r="C79" s="15">
        <f t="shared" ref="C79:H79" si="17">SUM(C77:C78)</f>
        <v>7091.7808219178087</v>
      </c>
      <c r="D79" s="15" t="str">
        <f t="shared" ca="1" si="17"/>
        <v/>
      </c>
      <c r="E79" s="15" t="str">
        <f t="shared" ca="1" si="17"/>
        <v/>
      </c>
      <c r="F79" s="15" t="str">
        <f t="shared" ca="1" si="17"/>
        <v/>
      </c>
      <c r="G79" s="15" t="str">
        <f t="shared" ca="1" si="17"/>
        <v/>
      </c>
      <c r="H79" s="15" t="str">
        <f t="shared" ca="1" si="17"/>
        <v/>
      </c>
    </row>
    <row r="81" spans="2:8" x14ac:dyDescent="0.35">
      <c r="B81" s="14" t="s">
        <v>68</v>
      </c>
      <c r="C81" s="15">
        <f t="shared" ref="C81:H81" si="18">C79+C75</f>
        <v>14176.712328767124</v>
      </c>
      <c r="D81" s="15" t="str">
        <f t="shared" ca="1" si="18"/>
        <v/>
      </c>
      <c r="E81" s="15" t="str">
        <f t="shared" ca="1" si="18"/>
        <v/>
      </c>
      <c r="F81" s="15" t="str">
        <f t="shared" ca="1" si="18"/>
        <v/>
      </c>
      <c r="G81" s="15" t="str">
        <f t="shared" ca="1" si="18"/>
        <v/>
      </c>
      <c r="H81" s="15" t="str">
        <f t="shared" ca="1" si="18"/>
        <v/>
      </c>
    </row>
    <row r="82" spans="2:8" x14ac:dyDescent="0.35">
      <c r="B82" s="14" t="s">
        <v>69</v>
      </c>
      <c r="C82" s="15">
        <f t="shared" ref="C82:H82" si="19">ROUND(C69-C75-C79,3)</f>
        <v>0</v>
      </c>
      <c r="D82" s="15" t="str">
        <f t="shared" ca="1" si="19"/>
        <v/>
      </c>
      <c r="E82" s="15" t="str">
        <f t="shared" ca="1" si="19"/>
        <v/>
      </c>
      <c r="F82" s="15" t="str">
        <f t="shared" ca="1" si="19"/>
        <v/>
      </c>
      <c r="G82" s="15" t="str">
        <f t="shared" ca="1" si="19"/>
        <v/>
      </c>
      <c r="H82" s="15" t="str">
        <f t="shared" ca="1" si="19"/>
        <v/>
      </c>
    </row>
    <row r="84" spans="2:8" x14ac:dyDescent="0.35">
      <c r="B84" s="1"/>
    </row>
    <row r="85" spans="2:8" x14ac:dyDescent="0.35">
      <c r="B85" s="17"/>
    </row>
    <row r="86" spans="2:8" x14ac:dyDescent="0.35">
      <c r="B86" s="17"/>
    </row>
    <row r="87" spans="2:8" x14ac:dyDescent="0.35">
      <c r="B87" s="17"/>
    </row>
    <row r="88" spans="2:8" x14ac:dyDescent="0.35">
      <c r="B88" s="17"/>
    </row>
    <row r="89" spans="2:8" x14ac:dyDescent="0.35">
      <c r="B89" s="17"/>
    </row>
    <row r="90" spans="2:8" x14ac:dyDescent="0.35">
      <c r="B90" s="17"/>
    </row>
    <row r="91" spans="2:8" x14ac:dyDescent="0.35">
      <c r="B91" s="17"/>
    </row>
    <row r="92" spans="2:8" x14ac:dyDescent="0.35">
      <c r="B92" s="17"/>
    </row>
    <row r="93" spans="2:8" x14ac:dyDescent="0.35">
      <c r="B93" s="17"/>
    </row>
    <row r="94" spans="2:8" x14ac:dyDescent="0.35">
      <c r="B94" s="17"/>
    </row>
    <row r="95" spans="2:8" x14ac:dyDescent="0.35">
      <c r="B95" s="17"/>
    </row>
    <row r="96" spans="2:8" x14ac:dyDescent="0.35">
      <c r="B96" s="17"/>
    </row>
    <row r="97" spans="2:2" x14ac:dyDescent="0.35">
      <c r="B97" s="17"/>
    </row>
    <row r="98" spans="2:2" x14ac:dyDescent="0.35">
      <c r="B98" s="17"/>
    </row>
    <row r="99" spans="2:2" x14ac:dyDescent="0.35">
      <c r="B99" s="17"/>
    </row>
    <row r="100" spans="2:2" x14ac:dyDescent="0.35">
      <c r="B100" s="17"/>
    </row>
    <row r="101" spans="2:2" x14ac:dyDescent="0.35">
      <c r="B101" s="17"/>
    </row>
    <row r="102" spans="2:2" x14ac:dyDescent="0.35">
      <c r="B102" s="17"/>
    </row>
    <row r="103" spans="2:2" x14ac:dyDescent="0.35">
      <c r="B103" s="17"/>
    </row>
    <row r="104" spans="2:2" x14ac:dyDescent="0.35">
      <c r="B104" s="17"/>
    </row>
    <row r="105" spans="2:2" x14ac:dyDescent="0.35">
      <c r="B105" s="17"/>
    </row>
  </sheetData>
  <mergeCells count="8">
    <mergeCell ref="B63:H63"/>
    <mergeCell ref="B49:H49"/>
    <mergeCell ref="B35:H35"/>
    <mergeCell ref="J10:K10"/>
    <mergeCell ref="B4:G4"/>
    <mergeCell ref="B24:H24"/>
    <mergeCell ref="B10:H10"/>
    <mergeCell ref="B42:H4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Sadique</cp:lastModifiedBy>
  <cp:revision>0</cp:revision>
  <dcterms:created xsi:type="dcterms:W3CDTF">2026-09-18T10:57:16Z</dcterms:created>
  <dcterms:modified xsi:type="dcterms:W3CDTF">2026-10-01T16:53:52Z</dcterms:modified>
  <dc:language>en-US</dc:language>
</cp:coreProperties>
</file>