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3-Statement Mod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\(#,##0\)"/>
  </numFmts>
  <fonts count="9">
    <font>
      <name val="Calibri"/>
      <charset val="1"/>
      <family val="2"/>
      <color theme="1"/>
      <sz val="11"/>
    </font>
    <font>
      <name val="Arial"/>
      <charset val="1"/>
      <b val="1"/>
      <color rgb="FF1A1A1A"/>
      <sz val="14"/>
    </font>
    <font>
      <name val="Arial"/>
      <charset val="1"/>
      <family val="2"/>
      <b val="1"/>
      <i val="1"/>
      <sz val="9"/>
    </font>
    <font>
      <name val="Calibri"/>
      <charset val="1"/>
      <family val="2"/>
      <b val="1"/>
      <sz val="11"/>
    </font>
    <font>
      <name val="Arial"/>
      <charset val="1"/>
      <color rgb="FF1A1A1A"/>
      <sz val="10"/>
    </font>
    <font>
      <name val="Arial"/>
      <charset val="1"/>
      <b val="1"/>
      <color rgb="FF808080"/>
      <sz val="9"/>
    </font>
    <font>
      <name val="Arial"/>
      <charset val="1"/>
      <b val="1"/>
      <color rgb="FF1A1A1A"/>
      <sz val="10"/>
    </font>
    <font>
      <name val="Arial"/>
      <charset val="1"/>
      <color rgb="FF1155CC"/>
      <sz val="10"/>
    </font>
    <font>
      <name val="Arial"/>
      <charset val="1"/>
      <i val="1"/>
      <color rgb="FF80808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0404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1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6" fillId="0" borderId="0" pivotButton="0" quotePrefix="0" xfId="0"/>
    <xf numFmtId="165" fontId="6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05"/>
  <sheetViews>
    <sheetView showGridLines="0" tabSelected="1" topLeftCell="A46" zoomScale="70" zoomScaleNormal="70" workbookViewId="0">
      <selection activeCell="D40" sqref="D40"/>
    </sheetView>
  </sheetViews>
  <sheetFormatPr baseColWidth="8" defaultColWidth="8.6328125" defaultRowHeight="14.5"/>
  <cols>
    <col width="2" customWidth="1" min="1" max="1"/>
    <col width="34" customWidth="1" min="2" max="2"/>
    <col width="12" customWidth="1" min="3" max="8"/>
    <col width="3" customWidth="1" min="9" max="9"/>
    <col width="27" customWidth="1" min="10" max="10"/>
    <col width="12" customWidth="1" min="11" max="11"/>
  </cols>
  <sheetData>
    <row r="2" ht="18" customHeight="1">
      <c r="B2" s="3" t="inlineStr">
        <is>
          <t>Square Pharmaceuticals Ltd.</t>
        </is>
      </c>
    </row>
    <row r="3">
      <c r="B3" s="4" t="inlineStr">
        <is>
          <t>Fully Integrated 3-Statement Model — Exercise (with Circular Debt Schedule)</t>
        </is>
      </c>
      <c r="C3" s="5" t="n"/>
      <c r="D3" s="5" t="n"/>
    </row>
    <row r="4">
      <c r="B4" s="2" t="inlineStr">
        <is>
          <t>Note: figures below are illustrative placeholders for practice, not Square Pharma's actual reported financials.</t>
        </is>
      </c>
    </row>
    <row r="8">
      <c r="B8" s="6" t="inlineStr">
        <is>
          <t>Period</t>
        </is>
      </c>
      <c r="C8" s="7" t="n">
        <v>0</v>
      </c>
      <c r="D8" s="7" t="n">
        <v>1</v>
      </c>
      <c r="E8" s="7" t="n">
        <v>2</v>
      </c>
      <c r="F8" s="7" t="n">
        <v>3</v>
      </c>
      <c r="G8" s="7" t="n">
        <v>4</v>
      </c>
      <c r="H8" s="7" t="n">
        <v>5</v>
      </c>
    </row>
    <row r="10">
      <c r="B10" s="8" t="inlineStr">
        <is>
          <t>OPERATING ASSUMPTIONS</t>
        </is>
      </c>
      <c r="C10" s="20" t="n"/>
      <c r="D10" s="20" t="n"/>
      <c r="E10" s="20" t="n"/>
      <c r="F10" s="20" t="n"/>
      <c r="G10" s="20" t="n"/>
      <c r="H10" s="20" t="n"/>
      <c r="J10" s="8" t="inlineStr">
        <is>
          <t>PERIOD 0 BALANCE SHEET</t>
        </is>
      </c>
      <c r="K10" s="20" t="n"/>
    </row>
    <row r="11">
      <c r="B11" s="9" t="inlineStr">
        <is>
          <t>Revenue growth rate</t>
        </is>
      </c>
      <c r="C11" s="10" t="n"/>
      <c r="D11" s="11" t="n">
        <v>0.09</v>
      </c>
      <c r="E11" s="11" t="n">
        <v>0.08</v>
      </c>
      <c r="F11" s="11" t="n">
        <v>0.075</v>
      </c>
      <c r="G11" s="11" t="n">
        <v>0.07000000000000001</v>
      </c>
      <c r="H11" s="11" t="n">
        <v>0.065</v>
      </c>
      <c r="J11" s="9" t="inlineStr">
        <is>
          <t>Revenue, Period 0</t>
        </is>
      </c>
      <c r="K11" s="12" t="n">
        <v>15000</v>
      </c>
    </row>
    <row r="12">
      <c r="B12" s="9" t="inlineStr">
        <is>
          <t>Gross margin</t>
        </is>
      </c>
      <c r="C12" s="11" t="n">
        <v>0.34</v>
      </c>
      <c r="D12" s="11" t="n">
        <v>0.34</v>
      </c>
      <c r="E12" s="11" t="n">
        <v>0.34</v>
      </c>
      <c r="F12" s="11" t="n">
        <v>0.34</v>
      </c>
      <c r="G12" s="11" t="n">
        <v>0.34</v>
      </c>
      <c r="H12" s="11" t="n">
        <v>0.34</v>
      </c>
      <c r="J12" s="9" t="inlineStr">
        <is>
          <t>Cash</t>
        </is>
      </c>
      <c r="K12" s="12" t="n">
        <v>1200</v>
      </c>
    </row>
    <row r="13">
      <c r="B13" s="9" t="inlineStr">
        <is>
          <t>SG&amp;A (% of revenue)</t>
        </is>
      </c>
      <c r="C13" s="11" t="n">
        <v>0.14</v>
      </c>
      <c r="D13" s="11" t="n">
        <v>0.14</v>
      </c>
      <c r="E13" s="11" t="n">
        <v>0.14</v>
      </c>
      <c r="F13" s="11" t="n">
        <v>0.14</v>
      </c>
      <c r="G13" s="11" t="n">
        <v>0.14</v>
      </c>
      <c r="H13" s="11" t="n">
        <v>0.14</v>
      </c>
      <c r="J13" s="9" t="inlineStr">
        <is>
          <t>PP&amp;E, net</t>
        </is>
      </c>
      <c r="K13" s="12" t="n">
        <v>9500</v>
      </c>
    </row>
    <row r="14">
      <c r="B14" s="9" t="inlineStr">
        <is>
          <t>D&amp;A (% of revenue)</t>
        </is>
      </c>
      <c r="C14" s="11" t="n">
        <v>0.035</v>
      </c>
      <c r="D14" s="11" t="n">
        <v>0.035</v>
      </c>
      <c r="E14" s="11" t="n">
        <v>0.035</v>
      </c>
      <c r="F14" s="11" t="n">
        <v>0.035</v>
      </c>
      <c r="G14" s="11" t="n">
        <v>0.035</v>
      </c>
      <c r="H14" s="11" t="n">
        <v>0.035</v>
      </c>
      <c r="J14" s="9" t="inlineStr">
        <is>
          <t>Revolver (short-term debt)</t>
        </is>
      </c>
      <c r="K14" s="12" t="n">
        <v>0</v>
      </c>
    </row>
    <row r="15">
      <c r="B15" s="9" t="inlineStr">
        <is>
          <t>CapEx (% of revenue)</t>
        </is>
      </c>
      <c r="C15" s="11" t="n">
        <v>0.05</v>
      </c>
      <c r="D15" s="11" t="n">
        <v>0.05</v>
      </c>
      <c r="E15" s="11" t="n">
        <v>0.05</v>
      </c>
      <c r="F15" s="11" t="n">
        <v>0.05</v>
      </c>
      <c r="G15" s="11" t="n">
        <v>0.05</v>
      </c>
      <c r="H15" s="11" t="n">
        <v>0.05</v>
      </c>
      <c r="J15" s="9" t="inlineStr">
        <is>
          <t>Long-term debt</t>
        </is>
      </c>
      <c r="K15" s="12" t="n">
        <v>6000</v>
      </c>
    </row>
    <row r="16">
      <c r="B16" s="9" t="inlineStr">
        <is>
          <t>Tax rate</t>
        </is>
      </c>
      <c r="C16" s="11" t="n">
        <v>0.275</v>
      </c>
      <c r="D16" s="11" t="n">
        <v>0.275</v>
      </c>
      <c r="E16" s="11" t="n">
        <v>0.275</v>
      </c>
      <c r="F16" s="11" t="n">
        <v>0.275</v>
      </c>
      <c r="G16" s="11" t="n">
        <v>0.275</v>
      </c>
      <c r="H16" s="11" t="n">
        <v>0.275</v>
      </c>
      <c r="J16" s="9" t="inlineStr">
        <is>
          <t>Common stock</t>
        </is>
      </c>
      <c r="K16" s="12" t="n">
        <v>4000</v>
      </c>
    </row>
    <row r="17">
      <c r="B17" s="9" t="inlineStr">
        <is>
          <t>Days Sales Outstanding (DSO)</t>
        </is>
      </c>
      <c r="C17" s="13" t="n">
        <v>45</v>
      </c>
      <c r="D17" s="13" t="n">
        <v>45</v>
      </c>
      <c r="E17" s="13" t="n">
        <v>45</v>
      </c>
      <c r="F17" s="13" t="n">
        <v>45</v>
      </c>
      <c r="G17" s="13" t="n">
        <v>45</v>
      </c>
      <c r="H17" s="13" t="n">
        <v>45</v>
      </c>
      <c r="J17" s="9" t="inlineStr">
        <is>
          <t>Retained earnings (balancing)</t>
        </is>
      </c>
      <c r="K17" s="14">
        <f>C69-C75-K16</f>
        <v/>
      </c>
    </row>
    <row r="18">
      <c r="B18" s="9" t="inlineStr">
        <is>
          <t>Days Inventory Outstanding (DIO)</t>
        </is>
      </c>
      <c r="C18" s="13" t="n">
        <v>60</v>
      </c>
      <c r="D18" s="13" t="n">
        <v>60</v>
      </c>
      <c r="E18" s="13" t="n">
        <v>60</v>
      </c>
      <c r="F18" s="13" t="n">
        <v>60</v>
      </c>
      <c r="G18" s="13" t="n">
        <v>60</v>
      </c>
      <c r="H18" s="13" t="n">
        <v>60</v>
      </c>
    </row>
    <row r="19">
      <c r="B19" s="9" t="inlineStr">
        <is>
          <t>Days Payable Outstanding (DPO)</t>
        </is>
      </c>
      <c r="C19" s="13" t="n">
        <v>40</v>
      </c>
      <c r="D19" s="13" t="n">
        <v>40</v>
      </c>
      <c r="E19" s="13" t="n">
        <v>40</v>
      </c>
      <c r="F19" s="13" t="n">
        <v>40</v>
      </c>
      <c r="G19" s="13" t="n">
        <v>40</v>
      </c>
      <c r="H19" s="13" t="n">
        <v>40</v>
      </c>
    </row>
    <row r="20">
      <c r="B20" s="9" t="inlineStr">
        <is>
          <t>Interest rate on debt (avg balance)</t>
        </is>
      </c>
      <c r="C20" s="11" t="n">
        <v>0.1</v>
      </c>
      <c r="D20" s="11" t="n">
        <v>0.1</v>
      </c>
      <c r="E20" s="11" t="n">
        <v>0.1</v>
      </c>
      <c r="F20" s="11" t="n">
        <v>0.1</v>
      </c>
      <c r="G20" s="11" t="n">
        <v>0.1</v>
      </c>
      <c r="H20" s="11" t="n">
        <v>0.1</v>
      </c>
    </row>
    <row r="21">
      <c r="B21" s="9" t="inlineStr">
        <is>
          <t>Minimum cash balance</t>
        </is>
      </c>
      <c r="C21" s="12" t="n">
        <v>500</v>
      </c>
      <c r="D21" s="12" t="n">
        <v>500</v>
      </c>
      <c r="E21" s="12" t="n">
        <v>500</v>
      </c>
      <c r="F21" s="12" t="n">
        <v>500</v>
      </c>
      <c r="G21" s="12" t="n">
        <v>500</v>
      </c>
      <c r="H21" s="12" t="n">
        <v>500</v>
      </c>
    </row>
    <row r="22">
      <c r="B22" s="9" t="inlineStr">
        <is>
          <t>Dividend payout ratio</t>
        </is>
      </c>
      <c r="C22" s="11" t="n">
        <v>0.2</v>
      </c>
      <c r="D22" s="11" t="n">
        <v>0.2</v>
      </c>
      <c r="E22" s="11" t="n">
        <v>0.2</v>
      </c>
      <c r="F22" s="11" t="n">
        <v>0.2</v>
      </c>
      <c r="G22" s="11" t="n">
        <v>0.2</v>
      </c>
      <c r="H22" s="11" t="n">
        <v>0.2</v>
      </c>
    </row>
    <row r="24">
      <c r="B24" s="8" t="inlineStr">
        <is>
          <t>INCOME STATEMENT</t>
        </is>
      </c>
      <c r="C24" s="20" t="n"/>
      <c r="D24" s="20" t="n"/>
      <c r="E24" s="20" t="n"/>
      <c r="F24" s="20" t="n"/>
      <c r="G24" s="20" t="n"/>
      <c r="H24" s="20" t="n"/>
    </row>
    <row r="25">
      <c r="B25" s="9" t="inlineStr">
        <is>
          <t>Revenue</t>
        </is>
      </c>
      <c r="C25" s="14">
        <f>K11</f>
        <v/>
      </c>
      <c r="D25" s="15">
        <f>C25*(1+D11)</f>
        <v/>
      </c>
      <c r="E25" s="15">
        <f>D25*(1+E11)</f>
        <v/>
      </c>
      <c r="F25" s="15">
        <f>E25*(1+F11)</f>
        <v/>
      </c>
      <c r="G25" s="15">
        <f>F25*(1+G11)</f>
        <v/>
      </c>
      <c r="H25" s="15">
        <f>G25*(1+H11)</f>
        <v/>
      </c>
    </row>
    <row r="26">
      <c r="B26" s="9" t="inlineStr">
        <is>
          <t>COGS</t>
        </is>
      </c>
      <c r="C26" s="15">
        <f>-C25*(1-C12)</f>
        <v/>
      </c>
      <c r="D26" s="15">
        <f>-D25*(1-D12)</f>
        <v/>
      </c>
      <c r="E26" s="15">
        <f>-E25*(1-E12)</f>
        <v/>
      </c>
      <c r="F26" s="15">
        <f>-F25*(1-F12)</f>
        <v/>
      </c>
      <c r="G26" s="15">
        <f>-G25*(1-G12)</f>
        <v/>
      </c>
      <c r="H26" s="15">
        <f>-H25*(1-H12)</f>
        <v/>
      </c>
    </row>
    <row r="27">
      <c r="B27" s="16" t="inlineStr">
        <is>
          <t>Gross Profit</t>
        </is>
      </c>
      <c r="C27" s="17">
        <f>SUM(C25:C26)</f>
        <v/>
      </c>
      <c r="D27" s="17">
        <f>SUM(D25:D26)</f>
        <v/>
      </c>
      <c r="E27" s="17">
        <f>SUM(E25:E26)</f>
        <v/>
      </c>
      <c r="F27" s="17">
        <f>SUM(F25:F26)</f>
        <v/>
      </c>
      <c r="G27" s="17">
        <f>SUM(G25:G26)</f>
        <v/>
      </c>
      <c r="H27" s="17">
        <f>SUM(H25:H26)</f>
        <v/>
      </c>
    </row>
    <row r="28">
      <c r="B28" s="9" t="inlineStr">
        <is>
          <t>SG&amp;A</t>
        </is>
      </c>
      <c r="C28" s="15">
        <f>-C25*C13</f>
        <v/>
      </c>
      <c r="D28" s="15">
        <f>-D25*D13</f>
        <v/>
      </c>
      <c r="E28" s="15">
        <f>-E25*E13</f>
        <v/>
      </c>
      <c r="F28" s="15">
        <f>-F25*F13</f>
        <v/>
      </c>
      <c r="G28" s="15">
        <f>-G25*G13</f>
        <v/>
      </c>
      <c r="H28" s="15">
        <f>-H25*H13</f>
        <v/>
      </c>
    </row>
    <row r="29">
      <c r="B29" s="16" t="inlineStr">
        <is>
          <t>EBIT</t>
        </is>
      </c>
      <c r="C29" s="17">
        <f>SUM(C27:C28)</f>
        <v/>
      </c>
      <c r="D29" s="17">
        <f>SUM(D27:D28)</f>
        <v/>
      </c>
      <c r="E29" s="17">
        <f>SUM(E27:E28)</f>
        <v/>
      </c>
      <c r="F29" s="17">
        <f>SUM(F27:F28)</f>
        <v/>
      </c>
      <c r="G29" s="17">
        <f>SUM(G27:G28)</f>
        <v/>
      </c>
      <c r="H29" s="17">
        <f>SUM(H27:H28)</f>
        <v/>
      </c>
    </row>
    <row r="30">
      <c r="B30" s="9" t="inlineStr">
        <is>
          <t>Interest Expense</t>
        </is>
      </c>
      <c r="C30" s="15">
        <f>-(K14+K15)*C20</f>
        <v/>
      </c>
      <c r="D30" s="15">
        <f>-D20*(D47+AVERAGE(C74,D74))</f>
        <v/>
      </c>
      <c r="E30" s="15">
        <f>-E20*(E47+AVERAGE(D74,E74))</f>
        <v/>
      </c>
      <c r="F30" s="15">
        <f>-F20*(F47+AVERAGE(E74,F74))</f>
        <v/>
      </c>
      <c r="G30" s="15">
        <f>-G20*(G47+AVERAGE(F74,G74))</f>
        <v/>
      </c>
      <c r="H30" s="15">
        <f>-H20*(H47+AVERAGE(G74,H74))</f>
        <v/>
      </c>
    </row>
    <row r="31">
      <c r="B31" s="9" t="inlineStr">
        <is>
          <t>EBT</t>
        </is>
      </c>
      <c r="C31" s="15">
        <f>SUM(C29:C30)</f>
        <v/>
      </c>
      <c r="D31" s="15">
        <f>SUM(D29:D30)</f>
        <v/>
      </c>
      <c r="E31" s="15">
        <f>SUM(E29:E30)</f>
        <v/>
      </c>
      <c r="F31" s="15">
        <f>SUM(F29:F30)</f>
        <v/>
      </c>
      <c r="G31" s="15">
        <f>SUM(G29:G30)</f>
        <v/>
      </c>
      <c r="H31" s="15">
        <f>SUM(H29:H30)</f>
        <v/>
      </c>
      <c r="I31" s="18" t="n"/>
    </row>
    <row r="32">
      <c r="B32" s="9" t="inlineStr">
        <is>
          <t>Tax</t>
        </is>
      </c>
      <c r="C32" s="15">
        <f>-C31*C16</f>
        <v/>
      </c>
      <c r="D32" s="15">
        <f>-D31*D16</f>
        <v/>
      </c>
      <c r="E32" s="15">
        <f>-E31*E16</f>
        <v/>
      </c>
      <c r="F32" s="15">
        <f>-F31*F16</f>
        <v/>
      </c>
      <c r="G32" s="15">
        <f>-G31*G16</f>
        <v/>
      </c>
      <c r="H32" s="15">
        <f>-H31*H16</f>
        <v/>
      </c>
      <c r="I32" s="18" t="n"/>
    </row>
    <row r="33">
      <c r="B33" s="16" t="inlineStr">
        <is>
          <t>Net Income</t>
        </is>
      </c>
      <c r="C33" s="17">
        <f>SUM(C31:C32)</f>
        <v/>
      </c>
      <c r="D33" s="17">
        <f>SUM(D31:D32)</f>
        <v/>
      </c>
      <c r="E33" s="17">
        <f>SUM(E31:E32)</f>
        <v/>
      </c>
      <c r="F33" s="17">
        <f>SUM(F31:F32)</f>
        <v/>
      </c>
      <c r="G33" s="17">
        <f>SUM(G31:G32)</f>
        <v/>
      </c>
      <c r="H33" s="17">
        <f>SUM(H31:H32)</f>
        <v/>
      </c>
    </row>
    <row r="35">
      <c r="B35" s="8" t="inlineStr">
        <is>
          <t>WORKING CAPITAL SCHEDULE</t>
        </is>
      </c>
      <c r="C35" s="20" t="n"/>
      <c r="D35" s="20" t="n"/>
      <c r="E35" s="20" t="n"/>
      <c r="F35" s="20" t="n"/>
      <c r="G35" s="20" t="n"/>
      <c r="H35" s="20" t="n"/>
    </row>
    <row r="36">
      <c r="B36" s="9" t="inlineStr">
        <is>
          <t>Accounts Receivable</t>
        </is>
      </c>
      <c r="C36" s="15">
        <f>(C25*C17)/365</f>
        <v/>
      </c>
      <c r="D36" s="15">
        <f>(D25*D17)/365</f>
        <v/>
      </c>
      <c r="E36" s="15">
        <f>(E25*E17)/365</f>
        <v/>
      </c>
      <c r="F36" s="15">
        <f>(F25*F17)/365</f>
        <v/>
      </c>
      <c r="G36" s="15">
        <f>(G25*G17)/365</f>
        <v/>
      </c>
      <c r="H36" s="15">
        <f>(H25*H17)/365</f>
        <v/>
      </c>
    </row>
    <row r="37">
      <c r="B37" s="9" t="inlineStr">
        <is>
          <t>Inventory</t>
        </is>
      </c>
      <c r="C37" s="15">
        <f>-(C26*C18/365)</f>
        <v/>
      </c>
      <c r="D37" s="15">
        <f>-(D26*D18/365)</f>
        <v/>
      </c>
      <c r="E37" s="15">
        <f>-(E26*E18/365)</f>
        <v/>
      </c>
      <c r="F37" s="15">
        <f>-(F26*F18/365)</f>
        <v/>
      </c>
      <c r="G37" s="15">
        <f>-(G26*G18/365)</f>
        <v/>
      </c>
      <c r="H37" s="15">
        <f>-(H26*H18/365)</f>
        <v/>
      </c>
    </row>
    <row r="38">
      <c r="B38" s="9" t="inlineStr">
        <is>
          <t>Accounts Payable</t>
        </is>
      </c>
      <c r="C38" s="15">
        <f>-(C26*C19/365)</f>
        <v/>
      </c>
      <c r="D38" s="15">
        <f>-(D26*D19/365)</f>
        <v/>
      </c>
      <c r="E38" s="15">
        <f>-(E26*E19/365)</f>
        <v/>
      </c>
      <c r="F38" s="15">
        <f>-(F26*F19/365)</f>
        <v/>
      </c>
      <c r="G38" s="15">
        <f>-(G26*G19/365)</f>
        <v/>
      </c>
      <c r="H38" s="15">
        <f>-(H26*H19/365)</f>
        <v/>
      </c>
    </row>
    <row r="39">
      <c r="B39" s="16" t="inlineStr">
        <is>
          <t>Net Working Capital</t>
        </is>
      </c>
      <c r="C39" s="17">
        <f>C36+C37-C38</f>
        <v/>
      </c>
      <c r="D39" s="17">
        <f>D36+D37-D38</f>
        <v/>
      </c>
      <c r="E39" s="17">
        <f>E36+E37-E38</f>
        <v/>
      </c>
      <c r="F39" s="17">
        <f>F36+F37-F38</f>
        <v/>
      </c>
      <c r="G39" s="17">
        <f>G36+G37-G38</f>
        <v/>
      </c>
      <c r="H39" s="17">
        <f>H36+H37-H38</f>
        <v/>
      </c>
    </row>
    <row r="40">
      <c r="B40" s="9" t="inlineStr">
        <is>
          <t>Change in NWC</t>
        </is>
      </c>
      <c r="C40" s="18" t="n"/>
      <c r="D40" s="15">
        <f>D39-C39</f>
        <v/>
      </c>
      <c r="E40" s="15">
        <f>E39-D39</f>
        <v/>
      </c>
      <c r="F40" s="15">
        <f>F39-E39</f>
        <v/>
      </c>
      <c r="G40" s="15">
        <f>G39-F39</f>
        <v/>
      </c>
      <c r="H40" s="15">
        <f>H39-G39</f>
        <v/>
      </c>
    </row>
    <row r="42">
      <c r="B42" s="8" t="inlineStr">
        <is>
          <t>DEBT SCHEDULE (REVOLVER)</t>
        </is>
      </c>
      <c r="C42" s="20" t="n"/>
      <c r="D42" s="20" t="n"/>
      <c r="E42" s="20" t="n"/>
      <c r="F42" s="20" t="n"/>
      <c r="G42" s="20" t="n"/>
      <c r="H42" s="20" t="n"/>
    </row>
    <row r="43">
      <c r="B43" s="9" t="inlineStr">
        <is>
          <t>Beginning Revolver Balance</t>
        </is>
      </c>
      <c r="C43" s="15">
        <f>K14</f>
        <v/>
      </c>
      <c r="D43" s="15">
        <f>C46</f>
        <v/>
      </c>
      <c r="E43" s="15">
        <f>D46</f>
        <v/>
      </c>
      <c r="F43" s="15">
        <f>E46</f>
        <v/>
      </c>
      <c r="G43" s="15">
        <f>F46</f>
        <v/>
      </c>
      <c r="H43" s="15">
        <f>G46</f>
        <v/>
      </c>
    </row>
    <row r="44">
      <c r="B44" s="9" t="inlineStr">
        <is>
          <t>Cash Flow Available Before Revolver</t>
        </is>
      </c>
      <c r="C44" s="18" t="n"/>
      <c r="D44" s="15">
        <f>D53+D55+D57</f>
        <v/>
      </c>
      <c r="E44" s="15">
        <f>E53+E55+E57</f>
        <v/>
      </c>
      <c r="F44" s="15">
        <f>F53+F55+F57</f>
        <v/>
      </c>
      <c r="G44" s="15">
        <f>G53+G55+G57</f>
        <v/>
      </c>
      <c r="H44" s="15">
        <f>H53+H55+H57</f>
        <v/>
      </c>
    </row>
    <row r="45">
      <c r="B45" s="9" t="inlineStr">
        <is>
          <t>Revolver Draw / (Paydown)</t>
        </is>
      </c>
      <c r="C45" s="18" t="n"/>
      <c r="D45" s="15">
        <f>-MIN(D60+D44-D21,D43)</f>
        <v/>
      </c>
      <c r="E45" s="15">
        <f>-MIN(E60+E44-E21,E43)</f>
        <v/>
      </c>
      <c r="F45" s="15">
        <f>-MIN(F60+F44-F21,F43)</f>
        <v/>
      </c>
      <c r="G45" s="15">
        <f>-MIN(G60+G44-G21,G43)</f>
        <v/>
      </c>
      <c r="H45" s="15">
        <f>-MIN(H60+H44-H21,H43)</f>
        <v/>
      </c>
    </row>
    <row r="46">
      <c r="B46" s="16" t="inlineStr">
        <is>
          <t>Ending Revolver Balance</t>
        </is>
      </c>
      <c r="C46" s="17">
        <f>K14</f>
        <v/>
      </c>
      <c r="D46" s="17">
        <f>D43+D45</f>
        <v/>
      </c>
      <c r="E46" s="17">
        <f>E43+E45</f>
        <v/>
      </c>
      <c r="F46" s="17">
        <f>F43+F45</f>
        <v/>
      </c>
      <c r="G46" s="17">
        <f>G43+G45</f>
        <v/>
      </c>
      <c r="H46" s="17">
        <f>H43+H45</f>
        <v/>
      </c>
    </row>
    <row r="47">
      <c r="B47" s="9" t="inlineStr">
        <is>
          <t>Average Balance (for interest)</t>
        </is>
      </c>
      <c r="C47" s="18" t="n"/>
      <c r="D47" s="15">
        <f>AVERAGE(D43,D46)</f>
        <v/>
      </c>
      <c r="E47" s="15">
        <f>AVERAGE(E43,E46)</f>
        <v/>
      </c>
      <c r="F47" s="15">
        <f>AVERAGE(F43,F46)</f>
        <v/>
      </c>
      <c r="G47" s="15">
        <f>AVERAGE(G43,G46)</f>
        <v/>
      </c>
      <c r="H47" s="15">
        <f>AVERAGE(H43,H46)</f>
        <v/>
      </c>
    </row>
    <row r="49">
      <c r="B49" s="8" t="inlineStr">
        <is>
          <t>CASH FLOW STATEMENT</t>
        </is>
      </c>
      <c r="C49" s="20" t="n"/>
      <c r="D49" s="20" t="n"/>
      <c r="E49" s="20" t="n"/>
      <c r="F49" s="20" t="n"/>
      <c r="G49" s="20" t="n"/>
      <c r="H49" s="20" t="n"/>
    </row>
    <row r="50">
      <c r="B50" s="9" t="inlineStr">
        <is>
          <t>Net Income</t>
        </is>
      </c>
      <c r="C50" s="18" t="n"/>
      <c r="D50" s="15">
        <f>D33</f>
        <v/>
      </c>
      <c r="E50" s="15">
        <f>E33</f>
        <v/>
      </c>
      <c r="F50" s="15">
        <f>F33</f>
        <v/>
      </c>
      <c r="G50" s="15">
        <f>G33</f>
        <v/>
      </c>
      <c r="H50" s="15">
        <f>H33</f>
        <v/>
      </c>
    </row>
    <row r="51">
      <c r="B51" s="9" t="inlineStr">
        <is>
          <t>Add back: D&amp;A</t>
        </is>
      </c>
      <c r="C51" s="18" t="n"/>
      <c r="D51" s="15">
        <f>D25*D14</f>
        <v/>
      </c>
      <c r="E51" s="15">
        <f>E25*E14</f>
        <v/>
      </c>
      <c r="F51" s="15">
        <f>F25*F14</f>
        <v/>
      </c>
      <c r="G51" s="15">
        <f>G25*G14</f>
        <v/>
      </c>
      <c r="H51" s="15">
        <f>H25*H14</f>
        <v/>
      </c>
    </row>
    <row r="52">
      <c r="B52" s="9" t="inlineStr">
        <is>
          <t>Less: Change in NWC</t>
        </is>
      </c>
      <c r="C52" s="18" t="n"/>
      <c r="D52" s="15">
        <f>-D40</f>
        <v/>
      </c>
      <c r="E52" s="15">
        <f>-E40</f>
        <v/>
      </c>
      <c r="F52" s="15">
        <f>-F40</f>
        <v/>
      </c>
      <c r="G52" s="15">
        <f>-G40</f>
        <v/>
      </c>
      <c r="H52" s="15">
        <f>-H40</f>
        <v/>
      </c>
    </row>
    <row r="53">
      <c r="B53" s="16" t="inlineStr">
        <is>
          <t>Cash Flow from Operations</t>
        </is>
      </c>
      <c r="C53" s="18" t="n"/>
      <c r="D53" s="17">
        <f>SUM(D50:D52)</f>
        <v/>
      </c>
      <c r="E53" s="17">
        <f>SUM(E50:E52)</f>
        <v/>
      </c>
      <c r="F53" s="17">
        <f>SUM(F50:F52)</f>
        <v/>
      </c>
      <c r="G53" s="17">
        <f>SUM(G50:G52)</f>
        <v/>
      </c>
      <c r="H53" s="17">
        <f>SUM(H50:H52)</f>
        <v/>
      </c>
    </row>
    <row r="54">
      <c r="B54" s="9" t="inlineStr">
        <is>
          <t>Less: CapEx</t>
        </is>
      </c>
      <c r="C54" s="18" t="n"/>
      <c r="D54" s="15">
        <f>-D25*D15</f>
        <v/>
      </c>
      <c r="E54" s="15">
        <f>-E25*E15</f>
        <v/>
      </c>
      <c r="F54" s="15">
        <f>-F25*F15</f>
        <v/>
      </c>
      <c r="G54" s="15">
        <f>-G25*G15</f>
        <v/>
      </c>
      <c r="H54" s="15">
        <f>-H25*H15</f>
        <v/>
      </c>
    </row>
    <row r="55">
      <c r="B55" s="16" t="inlineStr">
        <is>
          <t>Cash Flow from Investing</t>
        </is>
      </c>
      <c r="C55" s="18" t="n"/>
      <c r="D55" s="17">
        <f>D54</f>
        <v/>
      </c>
      <c r="E55" s="17">
        <f>E54</f>
        <v/>
      </c>
      <c r="F55" s="17">
        <f>F54</f>
        <v/>
      </c>
      <c r="G55" s="17">
        <f>G54</f>
        <v/>
      </c>
      <c r="H55" s="17">
        <f>H54</f>
        <v/>
      </c>
    </row>
    <row r="56">
      <c r="B56" s="9" t="inlineStr">
        <is>
          <t>Revolver Draw / (Paydown)</t>
        </is>
      </c>
      <c r="C56" s="18" t="n"/>
      <c r="D56" s="15">
        <f>D45</f>
        <v/>
      </c>
      <c r="E56" s="15">
        <f>E45</f>
        <v/>
      </c>
      <c r="F56" s="15">
        <f>F45</f>
        <v/>
      </c>
      <c r="G56" s="15">
        <f>G45</f>
        <v/>
      </c>
      <c r="H56" s="15">
        <f>H45</f>
        <v/>
      </c>
    </row>
    <row r="57">
      <c r="B57" s="9" t="inlineStr">
        <is>
          <t>Less: Dividends Paid</t>
        </is>
      </c>
      <c r="C57" s="18" t="n"/>
      <c r="D57" s="15">
        <f>-D33*D22</f>
        <v/>
      </c>
      <c r="E57" s="15">
        <f>-E33*E22</f>
        <v/>
      </c>
      <c r="F57" s="15">
        <f>-F33*F22</f>
        <v/>
      </c>
      <c r="G57" s="15">
        <f>-G33*G22</f>
        <v/>
      </c>
      <c r="H57" s="15">
        <f>-H33*H22</f>
        <v/>
      </c>
    </row>
    <row r="58">
      <c r="B58" s="16" t="inlineStr">
        <is>
          <t>Cash Flow from Financing</t>
        </is>
      </c>
      <c r="C58" s="18" t="n"/>
      <c r="D58" s="17">
        <f>SUM(D56:D57)</f>
        <v/>
      </c>
      <c r="E58" s="17">
        <f>SUM(E56:E57)</f>
        <v/>
      </c>
      <c r="F58" s="17">
        <f>SUM(F56:F57)</f>
        <v/>
      </c>
      <c r="G58" s="17">
        <f>SUM(G56:G57)</f>
        <v/>
      </c>
      <c r="H58" s="17">
        <f>SUM(H56:H57)</f>
        <v/>
      </c>
    </row>
    <row r="59">
      <c r="B59" s="16" t="inlineStr">
        <is>
          <t>Net Change in Cash</t>
        </is>
      </c>
      <c r="C59" s="18" t="n"/>
      <c r="D59" s="17">
        <f>D53+D55+D58</f>
        <v/>
      </c>
      <c r="E59" s="17">
        <f>E53+E55+E58</f>
        <v/>
      </c>
      <c r="F59" s="17">
        <f>F53+F55+F58</f>
        <v/>
      </c>
      <c r="G59" s="17">
        <f>G53+G55+G58</f>
        <v/>
      </c>
      <c r="H59" s="17">
        <f>H53+H55+H58</f>
        <v/>
      </c>
    </row>
    <row r="60">
      <c r="B60" s="9" t="inlineStr">
        <is>
          <t>Beginning Cash</t>
        </is>
      </c>
      <c r="C60" s="18" t="n"/>
      <c r="D60" s="15">
        <f>C64</f>
        <v/>
      </c>
      <c r="E60" s="15">
        <f>D64</f>
        <v/>
      </c>
      <c r="F60" s="15">
        <f>E64</f>
        <v/>
      </c>
      <c r="G60" s="15">
        <f>F64</f>
        <v/>
      </c>
      <c r="H60" s="15">
        <f>G64</f>
        <v/>
      </c>
    </row>
    <row r="61">
      <c r="B61" s="16" t="inlineStr">
        <is>
          <t>Ending Cash</t>
        </is>
      </c>
      <c r="C61" s="18" t="n"/>
      <c r="D61" s="17">
        <f>SUM(D59:D60)</f>
        <v/>
      </c>
      <c r="E61" s="17">
        <f>SUM(E59:E60)</f>
        <v/>
      </c>
      <c r="F61" s="17">
        <f>SUM(F59:F60)</f>
        <v/>
      </c>
      <c r="G61" s="17">
        <f>SUM(G59:G60)</f>
        <v/>
      </c>
      <c r="H61" s="17">
        <f>SUM(H59:H60)</f>
        <v/>
      </c>
    </row>
    <row r="63">
      <c r="B63" s="8" t="inlineStr">
        <is>
          <t>BALANCE SHEET</t>
        </is>
      </c>
      <c r="C63" s="20" t="n"/>
      <c r="D63" s="20" t="n"/>
      <c r="E63" s="20" t="n"/>
      <c r="F63" s="20" t="n"/>
      <c r="G63" s="20" t="n"/>
      <c r="H63" s="20" t="n"/>
    </row>
    <row r="64">
      <c r="B64" s="9" t="inlineStr">
        <is>
          <t>Cash</t>
        </is>
      </c>
      <c r="C64" s="15">
        <f>K12</f>
        <v/>
      </c>
      <c r="D64" s="15">
        <f>D61</f>
        <v/>
      </c>
      <c r="E64" s="15">
        <f>E61</f>
        <v/>
      </c>
      <c r="F64" s="15">
        <f>F61</f>
        <v/>
      </c>
      <c r="G64" s="15">
        <f>G61</f>
        <v/>
      </c>
      <c r="H64" s="15">
        <f>H61</f>
        <v/>
      </c>
    </row>
    <row r="65">
      <c r="B65" s="9" t="inlineStr">
        <is>
          <t>Accounts Receivable</t>
        </is>
      </c>
      <c r="C65" s="15">
        <f>C36</f>
        <v/>
      </c>
      <c r="D65" s="15">
        <f>D36</f>
        <v/>
      </c>
      <c r="E65" s="15">
        <f>E36</f>
        <v/>
      </c>
      <c r="F65" s="15">
        <f>F36</f>
        <v/>
      </c>
      <c r="G65" s="15">
        <f>G36</f>
        <v/>
      </c>
      <c r="H65" s="15">
        <f>H36</f>
        <v/>
      </c>
    </row>
    <row r="66">
      <c r="B66" s="9" t="inlineStr">
        <is>
          <t>Inventory</t>
        </is>
      </c>
      <c r="C66" s="15">
        <f>C37</f>
        <v/>
      </c>
      <c r="D66" s="15">
        <f>D37</f>
        <v/>
      </c>
      <c r="E66" s="15">
        <f>E37</f>
        <v/>
      </c>
      <c r="F66" s="15">
        <f>F37</f>
        <v/>
      </c>
      <c r="G66" s="15">
        <f>G37</f>
        <v/>
      </c>
      <c r="H66" s="15">
        <f>H37</f>
        <v/>
      </c>
    </row>
    <row r="67">
      <c r="B67" s="16" t="inlineStr">
        <is>
          <t>Total Current Assets</t>
        </is>
      </c>
      <c r="C67" s="17">
        <f>SUM(C64:C66)</f>
        <v/>
      </c>
      <c r="D67" s="17">
        <f>SUM(D64:D66)</f>
        <v/>
      </c>
      <c r="E67" s="17">
        <f>SUM(E64:E66)</f>
        <v/>
      </c>
      <c r="F67" s="17">
        <f>SUM(F64:F66)</f>
        <v/>
      </c>
      <c r="G67" s="17">
        <f>SUM(G64:G66)</f>
        <v/>
      </c>
      <c r="H67" s="17">
        <f>SUM(H64:H66)</f>
        <v/>
      </c>
    </row>
    <row r="68">
      <c r="B68" s="9" t="inlineStr">
        <is>
          <t>PP&amp;E, net</t>
        </is>
      </c>
      <c r="C68" s="15">
        <f>K13</f>
        <v/>
      </c>
      <c r="D68" s="15">
        <f>C68-D54-D51</f>
        <v/>
      </c>
      <c r="E68" s="15">
        <f>D68-E54-E51</f>
        <v/>
      </c>
      <c r="F68" s="15">
        <f>E68-F54-F51</f>
        <v/>
      </c>
      <c r="G68" s="15">
        <f>F68-G54-G51</f>
        <v/>
      </c>
      <c r="H68" s="15">
        <f>G68-H54-H51</f>
        <v/>
      </c>
    </row>
    <row r="69">
      <c r="B69" s="16" t="inlineStr">
        <is>
          <t>Total Assets</t>
        </is>
      </c>
      <c r="C69" s="17">
        <f>SUM(C67:C68)</f>
        <v/>
      </c>
      <c r="D69" s="17">
        <f>SUM(D67:D68)</f>
        <v/>
      </c>
      <c r="E69" s="17">
        <f>SUM(E67:E68)</f>
        <v/>
      </c>
      <c r="F69" s="17">
        <f>SUM(F67:F68)</f>
        <v/>
      </c>
      <c r="G69" s="17">
        <f>SUM(G67:G68)</f>
        <v/>
      </c>
      <c r="H69" s="17">
        <f>SUM(H67:H68)</f>
        <v/>
      </c>
    </row>
    <row r="71">
      <c r="B71" s="9" t="inlineStr">
        <is>
          <t>Accounts Payable</t>
        </is>
      </c>
      <c r="C71" s="15">
        <f>C38</f>
        <v/>
      </c>
      <c r="D71" s="15">
        <f>D38</f>
        <v/>
      </c>
      <c r="E71" s="15">
        <f>E38</f>
        <v/>
      </c>
      <c r="F71" s="15">
        <f>F38</f>
        <v/>
      </c>
      <c r="G71" s="15">
        <f>G38</f>
        <v/>
      </c>
      <c r="H71" s="15">
        <f>H38</f>
        <v/>
      </c>
    </row>
    <row r="72">
      <c r="B72" s="9" t="inlineStr">
        <is>
          <t>Revolver</t>
        </is>
      </c>
      <c r="C72" s="15">
        <f>K14</f>
        <v/>
      </c>
      <c r="D72" s="15">
        <f>D46</f>
        <v/>
      </c>
      <c r="E72" s="15">
        <f>E46</f>
        <v/>
      </c>
      <c r="F72" s="15">
        <f>F46</f>
        <v/>
      </c>
      <c r="G72" s="15">
        <f>G46</f>
        <v/>
      </c>
      <c r="H72" s="15">
        <f>H46</f>
        <v/>
      </c>
    </row>
    <row r="73">
      <c r="B73" s="16" t="inlineStr">
        <is>
          <t>Total Current Liabilities</t>
        </is>
      </c>
      <c r="C73" s="17">
        <f>SUM(C71:C72)</f>
        <v/>
      </c>
      <c r="D73" s="17">
        <f>SUM(D71:D72)</f>
        <v/>
      </c>
      <c r="E73" s="17">
        <f>SUM(E71:E72)</f>
        <v/>
      </c>
      <c r="F73" s="17">
        <f>SUM(F71:F72)</f>
        <v/>
      </c>
      <c r="G73" s="17">
        <f>SUM(G71:G72)</f>
        <v/>
      </c>
      <c r="H73" s="17">
        <f>SUM(H71:H72)</f>
        <v/>
      </c>
    </row>
    <row r="74">
      <c r="B74" s="9" t="inlineStr">
        <is>
          <t>Long-term Debt</t>
        </is>
      </c>
      <c r="C74" s="15">
        <f>K15</f>
        <v/>
      </c>
      <c r="D74" s="15">
        <f>C74</f>
        <v/>
      </c>
      <c r="E74" s="15">
        <f>D74</f>
        <v/>
      </c>
      <c r="F74" s="15">
        <f>E74</f>
        <v/>
      </c>
      <c r="G74" s="15">
        <f>F74</f>
        <v/>
      </c>
      <c r="H74" s="15">
        <f>G74</f>
        <v/>
      </c>
    </row>
    <row r="75">
      <c r="B75" s="16" t="inlineStr">
        <is>
          <t>Total Liabilities</t>
        </is>
      </c>
      <c r="C75" s="17">
        <f>SUM(C73:C74)</f>
        <v/>
      </c>
      <c r="D75" s="17">
        <f>SUM(D73:D74)</f>
        <v/>
      </c>
      <c r="E75" s="17">
        <f>SUM(E73:E74)</f>
        <v/>
      </c>
      <c r="F75" s="17">
        <f>SUM(F73:F74)</f>
        <v/>
      </c>
      <c r="G75" s="17">
        <f>SUM(G73:G74)</f>
        <v/>
      </c>
      <c r="H75" s="17">
        <f>SUM(H73:H74)</f>
        <v/>
      </c>
    </row>
    <row r="77">
      <c r="B77" s="9" t="inlineStr">
        <is>
          <t>Common Stock</t>
        </is>
      </c>
      <c r="C77" s="15">
        <f>K16</f>
        <v/>
      </c>
      <c r="D77" s="15">
        <f>C77</f>
        <v/>
      </c>
      <c r="E77" s="15">
        <f>D77</f>
        <v/>
      </c>
      <c r="F77" s="15">
        <f>E77</f>
        <v/>
      </c>
      <c r="G77" s="15">
        <f>F77</f>
        <v/>
      </c>
      <c r="H77" s="15">
        <f>G77</f>
        <v/>
      </c>
    </row>
    <row r="78">
      <c r="B78" s="9" t="inlineStr">
        <is>
          <t>Retained Earnings</t>
        </is>
      </c>
      <c r="C78" s="15">
        <f>K17</f>
        <v/>
      </c>
      <c r="D78" s="15">
        <f>C78+D33+D57</f>
        <v/>
      </c>
      <c r="E78" s="15">
        <f>D78+E33+E57</f>
        <v/>
      </c>
      <c r="F78" s="15">
        <f>E78+F33+F57</f>
        <v/>
      </c>
      <c r="G78" s="15">
        <f>F78+G33+G57</f>
        <v/>
      </c>
      <c r="H78" s="15">
        <f>G78+H33+H57</f>
        <v/>
      </c>
    </row>
    <row r="79">
      <c r="B79" s="16" t="inlineStr">
        <is>
          <t>Total Equity</t>
        </is>
      </c>
      <c r="C79" s="17">
        <f>SUM(C77:C78)</f>
        <v/>
      </c>
      <c r="D79" s="17">
        <f>SUM(D77:D78)</f>
        <v/>
      </c>
      <c r="E79" s="17">
        <f>SUM(E77:E78)</f>
        <v/>
      </c>
      <c r="F79" s="17">
        <f>SUM(F77:F78)</f>
        <v/>
      </c>
      <c r="G79" s="17">
        <f>SUM(G77:G78)</f>
        <v/>
      </c>
      <c r="H79" s="17">
        <f>SUM(H77:H78)</f>
        <v/>
      </c>
    </row>
    <row r="81">
      <c r="B81" s="16" t="inlineStr">
        <is>
          <t>Total Liabilities + Equity</t>
        </is>
      </c>
      <c r="C81" s="17">
        <f>C79+C75</f>
        <v/>
      </c>
      <c r="D81" s="17">
        <f>D79+D75</f>
        <v/>
      </c>
      <c r="E81" s="17">
        <f>E79+E75</f>
        <v/>
      </c>
      <c r="F81" s="17">
        <f>F79+F75</f>
        <v/>
      </c>
      <c r="G81" s="17">
        <f>G79+G75</f>
        <v/>
      </c>
      <c r="H81" s="17">
        <f>H79+H75</f>
        <v/>
      </c>
    </row>
    <row r="82">
      <c r="B82" s="16" t="inlineStr">
        <is>
          <t>Balance Check (Assets - Liab - Equity)</t>
        </is>
      </c>
      <c r="C82" s="17">
        <f>ROUND(C69-C75-C79,3)</f>
        <v/>
      </c>
      <c r="D82" s="17">
        <f>ROUND(D69-D75-D79,3)</f>
        <v/>
      </c>
      <c r="E82" s="17">
        <f>ROUND(E69-E75-E79,3)</f>
        <v/>
      </c>
      <c r="F82" s="17">
        <f>ROUND(F69-F75-F79,3)</f>
        <v/>
      </c>
      <c r="G82" s="17">
        <f>ROUND(G69-G75-G79,3)</f>
        <v/>
      </c>
      <c r="H82" s="17">
        <f>ROUND(H69-H75-H79,3)</f>
        <v/>
      </c>
    </row>
    <row r="84">
      <c r="B84" s="8" t="n"/>
    </row>
    <row r="85">
      <c r="B85" s="19" t="n"/>
    </row>
    <row r="86">
      <c r="B86" s="19" t="n"/>
    </row>
    <row r="87">
      <c r="B87" s="19" t="n"/>
    </row>
    <row r="88">
      <c r="B88" s="19" t="n"/>
    </row>
    <row r="89">
      <c r="B89" s="19" t="n"/>
    </row>
    <row r="90">
      <c r="B90" s="19" t="n"/>
    </row>
    <row r="91">
      <c r="B91" s="19" t="n"/>
    </row>
    <row r="92">
      <c r="B92" s="19" t="n"/>
    </row>
    <row r="93">
      <c r="B93" s="19" t="n"/>
    </row>
    <row r="94">
      <c r="B94" s="19" t="n"/>
    </row>
    <row r="95">
      <c r="B95" s="19" t="n"/>
    </row>
    <row r="96">
      <c r="B96" s="19" t="n"/>
    </row>
    <row r="97">
      <c r="B97" s="19" t="n"/>
    </row>
    <row r="98">
      <c r="B98" s="19" t="n"/>
    </row>
    <row r="99">
      <c r="B99" s="19" t="n"/>
    </row>
    <row r="100">
      <c r="B100" s="19" t="n"/>
    </row>
    <row r="101">
      <c r="B101" s="19" t="n"/>
    </row>
    <row r="102">
      <c r="B102" s="19" t="n"/>
    </row>
    <row r="103">
      <c r="B103" s="19" t="n"/>
    </row>
    <row r="104">
      <c r="B104" s="19" t="n"/>
    </row>
    <row r="105">
      <c r="B105" s="19" t="n"/>
    </row>
  </sheetData>
  <mergeCells count="8">
    <mergeCell ref="B49:H49"/>
    <mergeCell ref="B35:H35"/>
    <mergeCell ref="J10:K10"/>
    <mergeCell ref="B4:G4"/>
    <mergeCell ref="B24:H24"/>
    <mergeCell ref="B10:H10"/>
    <mergeCell ref="B42:H42"/>
    <mergeCell ref="B63:H63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2026-09-18T10:57:16Z</dcterms:created>
  <dcterms:modified xmlns:dcterms="http://purl.org/dc/terms/" xmlns:xsi="http://www.w3.org/2001/XMLSchema-instance" xsi:type="dcterms:W3CDTF">2026-09-19T08:18:31Z</dcterms:modified>
  <cp:lastModifiedBy>Irfan Sadique</cp:lastModifiedBy>
  <cp:revision>0</cp:revision>
</cp:coreProperties>
</file>